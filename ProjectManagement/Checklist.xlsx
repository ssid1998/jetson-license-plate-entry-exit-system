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filterPrivacy="1" defaultThemeVersion="124226"/>
  <xr:revisionPtr revIDLastSave="0" documentId="13_ncr:1_{82144DE2-E924-458C-91BE-F6B3C44B2CA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ecklist" sheetId="1" r:id="rId1"/>
    <sheet name="Project Plan" sheetId="6" r:id="rId2"/>
    <sheet name="Resulting objects" sheetId="2" r:id="rId3"/>
    <sheet name="Projekt Plan V1.0 (deut.)" sheetId="4" r:id="rId4"/>
    <sheet name="Project Plan V1.0 (eng.)" sheetId="5" r:id="rId5"/>
  </sheets>
  <externalReferences>
    <externalReference r:id="rId6"/>
  </externalReferences>
  <calcPr calcId="191029"/>
</workbook>
</file>

<file path=xl/calcChain.xml><?xml version="1.0" encoding="utf-8"?>
<calcChain xmlns="http://schemas.openxmlformats.org/spreadsheetml/2006/main"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<sst xmlns="http://schemas.openxmlformats.org/spreadsheetml/2006/main" count="215" uniqueCount="177">
  <si>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</si>
  <si>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</si>
  <si>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</si>
  <si>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</si>
  <si>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</si>
  <si>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</si>
  <si>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</si>
  <si>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</si>
  <si>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</si>
  <si>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</si>
  <si>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</si>
  <si>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</si>
  <si>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</si>
  <si>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</si>
  <si>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</si>
  <si>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</si>
  <si>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Name, Vorname</t>
  </si>
  <si>
    <t>cc: Firmenbetreuer</t>
  </si>
  <si>
    <t>Matr.-Nr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</si>
  <si>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</si>
  <si>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</si>
  <si>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</si>
  <si>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</si>
  <si>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</si>
  <si>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</si>
  <si>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</si>
  <si>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KW</t>
  </si>
  <si>
    <t>TP-Nr.</t>
  </si>
  <si>
    <t>TP-Name</t>
  </si>
  <si>
    <t>Besprechungen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</si>
  <si>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</si>
  <si>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</si>
  <si>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</si>
  <si>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</si>
  <si>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</si>
  <si>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</si>
  <si>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</si>
  <si>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</si>
  <si>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</si>
  <si>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</si>
  <si>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</si>
  <si>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</si>
  <si>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</si>
  <si>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</si>
  <si>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</si>
  <si>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</si>
  <si>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</si>
  <si>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Das Liebesleben der Maikäfer bei Nacht</t>
  </si>
  <si>
    <t>...</t>
  </si>
  <si>
    <t>lfd. Woche</t>
  </si>
  <si>
    <t>Dauer</t>
  </si>
  <si>
    <t>Einarbeitung / Literatur</t>
  </si>
  <si>
    <t>Verfassen PA / BT / DA / MT</t>
  </si>
  <si>
    <t>Durchsicht</t>
  </si>
  <si>
    <t xml:space="preserve"> </t>
  </si>
  <si>
    <t>Kolloquium</t>
  </si>
  <si>
    <t>Urlaub / Feiertage</t>
  </si>
  <si>
    <t>Geburt</t>
  </si>
  <si>
    <t>Ostern</t>
  </si>
  <si>
    <t>Pfingsten</t>
  </si>
  <si>
    <t>Anmeldung / Abgabe</t>
  </si>
  <si>
    <t>34. März</t>
  </si>
  <si>
    <t>34. Juli</t>
  </si>
  <si>
    <t>PJ   =   Projekt</t>
  </si>
  <si>
    <t>TP   =  Teilprojekt</t>
  </si>
  <si>
    <t>x  =  f(Studiengang)</t>
  </si>
  <si>
    <t>The Love Life of Cockchafers at Night</t>
  </si>
  <si>
    <t>Week of Year</t>
  </si>
  <si>
    <t>Project Week</t>
  </si>
  <si>
    <t>SP No.</t>
  </si>
  <si>
    <t>SP's Title</t>
  </si>
  <si>
    <t>Duration</t>
  </si>
  <si>
    <t>Informative activities / literature</t>
  </si>
  <si>
    <t>Writing of thesis</t>
  </si>
  <si>
    <t>First checking through by examiner</t>
  </si>
  <si>
    <t>Optimization</t>
  </si>
  <si>
    <t>Colloquium</t>
  </si>
  <si>
    <t>Vacation / holidays</t>
  </si>
  <si>
    <t>Birth</t>
  </si>
  <si>
    <t>Easter</t>
  </si>
  <si>
    <t>Pentecost</t>
  </si>
  <si>
    <t>Enrolement / Submission</t>
  </si>
  <si>
    <t>March 34</t>
  </si>
  <si>
    <t>July 34</t>
  </si>
  <si>
    <t>Meetings</t>
  </si>
  <si>
    <t>SP   =  Sub-project</t>
  </si>
  <si>
    <t>x  =  f(course of study)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</si>
  <si>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</si>
  <si>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</si>
  <si>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</si>
  <si>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</si>
  <si>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</si>
  <si>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</si>
  <si>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</si>
  <si>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</si>
  <si>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</si>
  <si>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</si>
  <si>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</si>
  <si>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</si>
  <si>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</si>
  <si>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</si>
  <si>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</si>
  <si>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</si>
  <si>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</si>
  <si>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</si>
  <si>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</si>
  <si>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</si>
  <si>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</si>
  <si>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</si>
  <si>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</si>
  <si>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</si>
  <si>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</si>
  <si>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</si>
  <si>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</si>
  <si>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</si>
  <si>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</si>
  <si>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</si>
  <si>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</si>
  <si>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</si>
  <si>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</si>
  <si>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</si>
  <si>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</si>
  <si>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</si>
  <si>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</si>
  <si>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</si>
  <si>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</si>
  <si>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</si>
  <si>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</si>
  <si>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</si>
  <si>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</si>
  <si>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</si>
  <si>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</si>
  <si>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</si>
  <si>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</si>
  <si>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</si>
  <si>
    <t xml:space="preserve">Tawar Ranjeetsing </t>
  </si>
  <si>
    <t>ML24-03 Car Licence Plate Identification with a Jetson Nano</t>
  </si>
  <si>
    <t xml:space="preserve">cc:Hochschule Emden Leer Universit of Applied Sciences </t>
  </si>
  <si>
    <t>MBIDA</t>
  </si>
  <si>
    <t>Prof. Elmar Wings</t>
  </si>
  <si>
    <t>Software Installation (GitHub, TexLive, TexStudio, Sumatrapdf, doxygen)</t>
  </si>
  <si>
    <t>Clone Repository</t>
  </si>
  <si>
    <t>Author and Checklist Update</t>
  </si>
  <si>
    <t>Project Plan Creation</t>
  </si>
  <si>
    <t>Introduction Writing</t>
  </si>
  <si>
    <t xml:space="preserve">Problem Description </t>
  </si>
  <si>
    <t>Hardware Description Section</t>
  </si>
  <si>
    <t>Software Description</t>
  </si>
  <si>
    <t>Data Mining Algorithm Writing</t>
  </si>
  <si>
    <t>KDD research for project</t>
  </si>
  <si>
    <t>Data selection Writing</t>
  </si>
  <si>
    <t>Data preprocessing Writing</t>
  </si>
  <si>
    <t>Data transformation Writing</t>
  </si>
  <si>
    <t>Data Mining Writing</t>
  </si>
  <si>
    <t>Interpretation Writing</t>
  </si>
  <si>
    <t>Validation Writing</t>
  </si>
  <si>
    <t>Given Documentation and Improvements Preparation</t>
  </si>
  <si>
    <t>Expect Deployment Writing</t>
  </si>
  <si>
    <t>Manual Preparation</t>
  </si>
  <si>
    <t>Testing Basic HW Features</t>
  </si>
  <si>
    <t>Implementation of Data KDD Model</t>
  </si>
  <si>
    <t>Develop Initial Code for ML Model</t>
  </si>
  <si>
    <t>Testing on the HW</t>
  </si>
  <si>
    <t>Optimize the Model - Python</t>
  </si>
  <si>
    <t>Testing the model behavior with HW</t>
  </si>
  <si>
    <t>Improving Model with real cases</t>
  </si>
  <si>
    <t>Result / Conclusion / Next Steps</t>
  </si>
  <si>
    <t>Poster Preparation</t>
  </si>
  <si>
    <t>Presentation Preparation</t>
  </si>
  <si>
    <t>Final Modification</t>
  </si>
  <si>
    <t>X-Mas</t>
  </si>
  <si>
    <t>24th January Hardware return</t>
  </si>
  <si>
    <t>16th January Final Presentation</t>
  </si>
  <si>
    <t>31th January Project Deadline</t>
  </si>
  <si>
    <t>Convert ML Model to C</t>
  </si>
  <si>
    <t>List Of Materials Required</t>
  </si>
  <si>
    <t>Write Jet bot Probable Application /Required Algorithms/Source Code (Part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</si>
</sst>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9"/>
      <name val="Tahoma"/>
      <family val="2"/>
    </font>
    <font>
      <sz val="8"/>
      <name val="Tahoma"/>
      <family val="2"/>
    </font>
    <font>
      <sz val="11"/>
      <color indexed="8"/>
      <name val="Calibri"/>
      <charset val="134"/>
    </font>
    <font>
      <b/>
      <sz val="12"/>
      <name val="Tahoma"/>
      <charset val="134"/>
    </font>
    <font>
      <b/>
      <sz val="14"/>
      <name val="Tahoma"/>
      <charset val="134"/>
    </font>
    <font>
      <sz val="10"/>
      <name val="Tahoma"/>
      <charset val="134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D9F1"/>
        <bgColor indexed="64"/>
      </patternFill>
    </fill>
  </fills>
  <borders count="69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/>
      <right style="dashed">
        <color auto="1"/>
      </right>
      <top style="thick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thick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dashed">
        <color auto="1"/>
      </right>
      <top/>
      <bottom style="hair">
        <color auto="1"/>
      </bottom>
      <diagonal/>
    </border>
    <border>
      <left/>
      <right style="dashed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/>
      <right style="dashed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dashed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/>
      <top style="thick">
        <color auto="1"/>
      </top>
      <bottom style="hair">
        <color auto="1"/>
      </bottom>
      <diagonal/>
    </border>
    <border>
      <left style="dashed">
        <color auto="1"/>
      </left>
      <right style="thick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dashed">
        <color auto="1"/>
      </left>
      <right/>
      <top style="hair">
        <color auto="1"/>
      </top>
      <bottom style="hair">
        <color auto="1"/>
      </bottom>
      <diagonal/>
    </border>
    <border>
      <left style="dashed">
        <color auto="1"/>
      </left>
      <right style="thick">
        <color auto="1"/>
      </right>
      <top style="hair">
        <color auto="1"/>
      </top>
      <bottom/>
      <diagonal/>
    </border>
    <border>
      <left/>
      <right/>
      <top style="hair">
        <color auto="1"/>
      </top>
      <bottom style="thick">
        <color auto="1"/>
      </bottom>
      <diagonal/>
    </border>
    <border>
      <left style="dashed">
        <color auto="1"/>
      </left>
      <right/>
      <top style="hair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24" xfId="0" applyFont="1" applyBorder="1" applyAlignment="1">
      <alignment vertical="center"/>
    </xf>
    <xf numFmtId="0" fontId="9" fillId="0" borderId="30" xfId="0" applyFont="1" applyBorder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10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39" xfId="0" applyFont="1" applyBorder="1" applyAlignment="1">
      <alignment horizontal="right"/>
    </xf>
    <xf numFmtId="0" fontId="10" fillId="0" borderId="40" xfId="0" applyFont="1" applyBorder="1" applyAlignment="1">
      <alignment horizontal="right"/>
    </xf>
    <xf numFmtId="0" fontId="10" fillId="0" borderId="10" xfId="0" applyFont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36" xfId="0" applyFont="1" applyBorder="1" applyAlignment="1">
      <alignment horizontal="right"/>
    </xf>
    <xf numFmtId="0" fontId="10" fillId="0" borderId="43" xfId="0" applyFont="1" applyBorder="1" applyAlignment="1">
      <alignment horizontal="right"/>
    </xf>
    <xf numFmtId="0" fontId="10" fillId="0" borderId="14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3" fillId="0" borderId="4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 wrapText="1"/>
    </xf>
    <xf numFmtId="0" fontId="10" fillId="0" borderId="20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3" fillId="0" borderId="49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top"/>
    </xf>
    <xf numFmtId="0" fontId="10" fillId="4" borderId="36" xfId="0" applyFont="1" applyFill="1" applyBorder="1" applyAlignment="1">
      <alignment horizontal="left"/>
    </xf>
    <xf numFmtId="0" fontId="10" fillId="0" borderId="43" xfId="0" applyFont="1" applyBorder="1" applyAlignment="1">
      <alignment horizontal="center" wrapText="1"/>
    </xf>
    <xf numFmtId="0" fontId="10" fillId="0" borderId="0" xfId="0" applyFont="1" applyAlignment="1">
      <alignment horizontal="left" vertical="top"/>
    </xf>
    <xf numFmtId="0" fontId="10" fillId="0" borderId="50" xfId="0" applyFont="1" applyBorder="1" applyAlignment="1">
      <alignment horizontal="center"/>
    </xf>
    <xf numFmtId="0" fontId="13" fillId="0" borderId="15" xfId="0" applyFont="1" applyBorder="1" applyAlignment="1">
      <alignment horizontal="center" vertical="center"/>
    </xf>
    <xf numFmtId="0" fontId="10" fillId="5" borderId="36" xfId="0" applyFont="1" applyFill="1" applyBorder="1" applyAlignment="1">
      <alignment horizontal="left"/>
    </xf>
    <xf numFmtId="0" fontId="13" fillId="4" borderId="30" xfId="0" applyFont="1" applyFill="1" applyBorder="1" applyAlignment="1">
      <alignment horizontal="left" vertical="center"/>
    </xf>
    <xf numFmtId="0" fontId="13" fillId="0" borderId="5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52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53" xfId="0" applyFont="1" applyBorder="1" applyAlignment="1">
      <alignment horizontal="center" vertical="center"/>
    </xf>
    <xf numFmtId="0" fontId="13" fillId="6" borderId="30" xfId="0" applyFont="1" applyFill="1" applyBorder="1" applyAlignment="1">
      <alignment vertical="center"/>
    </xf>
    <xf numFmtId="0" fontId="13" fillId="0" borderId="54" xfId="0" applyFont="1" applyBorder="1" applyAlignment="1">
      <alignment horizontal="center" vertical="center"/>
    </xf>
    <xf numFmtId="0" fontId="13" fillId="7" borderId="30" xfId="0" applyFont="1" applyFill="1" applyBorder="1" applyAlignment="1">
      <alignment vertical="center"/>
    </xf>
    <xf numFmtId="0" fontId="13" fillId="8" borderId="30" xfId="0" applyFont="1" applyFill="1" applyBorder="1" applyAlignment="1">
      <alignment vertical="center"/>
    </xf>
    <xf numFmtId="0" fontId="13" fillId="9" borderId="30" xfId="0" applyFont="1" applyFill="1" applyBorder="1" applyAlignment="1">
      <alignment vertical="center"/>
    </xf>
    <xf numFmtId="0" fontId="13" fillId="4" borderId="30" xfId="0" applyFont="1" applyFill="1" applyBorder="1" applyAlignment="1">
      <alignment vertical="center"/>
    </xf>
    <xf numFmtId="0" fontId="13" fillId="10" borderId="30" xfId="0" applyFont="1" applyFill="1" applyBorder="1" applyAlignment="1">
      <alignment vertical="center"/>
    </xf>
    <xf numFmtId="0" fontId="13" fillId="5" borderId="30" xfId="0" applyFont="1" applyFill="1" applyBorder="1" applyAlignment="1">
      <alignment vertical="center"/>
    </xf>
    <xf numFmtId="0" fontId="13" fillId="11" borderId="36" xfId="0" applyFont="1" applyFill="1" applyBorder="1" applyAlignment="1">
      <alignment vertical="center"/>
    </xf>
    <xf numFmtId="0" fontId="13" fillId="0" borderId="43" xfId="0" applyFont="1" applyBorder="1" applyAlignment="1">
      <alignment horizontal="center" vertical="center"/>
    </xf>
    <xf numFmtId="0" fontId="13" fillId="8" borderId="36" xfId="0" applyFont="1" applyFill="1" applyBorder="1" applyAlignment="1">
      <alignment vertical="center"/>
    </xf>
    <xf numFmtId="0" fontId="13" fillId="11" borderId="30" xfId="0" applyFont="1" applyFill="1" applyBorder="1" applyAlignment="1">
      <alignment vertical="center"/>
    </xf>
    <xf numFmtId="0" fontId="13" fillId="4" borderId="36" xfId="0" applyFont="1" applyFill="1" applyBorder="1" applyAlignment="1">
      <alignment vertical="center"/>
    </xf>
    <xf numFmtId="0" fontId="13" fillId="0" borderId="55" xfId="0" applyFont="1" applyBorder="1" applyAlignment="1">
      <alignment horizontal="center" vertical="center"/>
    </xf>
    <xf numFmtId="0" fontId="13" fillId="0" borderId="56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9" borderId="58" xfId="0" applyFont="1" applyFill="1" applyBorder="1" applyAlignment="1">
      <alignment vertical="center"/>
    </xf>
    <xf numFmtId="0" fontId="13" fillId="8" borderId="59" xfId="0" applyFont="1" applyFill="1" applyBorder="1" applyAlignment="1">
      <alignment vertical="center"/>
    </xf>
    <xf numFmtId="0" fontId="13" fillId="8" borderId="58" xfId="0" applyFont="1" applyFill="1" applyBorder="1" applyAlignment="1">
      <alignment vertical="center"/>
    </xf>
    <xf numFmtId="0" fontId="13" fillId="0" borderId="60" xfId="0" applyFont="1" applyBorder="1" applyAlignment="1">
      <alignment horizontal="center" vertical="center"/>
    </xf>
    <xf numFmtId="0" fontId="13" fillId="9" borderId="36" xfId="0" applyFont="1" applyFill="1" applyBorder="1" applyAlignment="1">
      <alignment vertical="center"/>
    </xf>
    <xf numFmtId="0" fontId="13" fillId="0" borderId="61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vertical="center"/>
    </xf>
    <xf numFmtId="0" fontId="13" fillId="0" borderId="11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6" fontId="13" fillId="0" borderId="11" xfId="0" applyNumberFormat="1" applyFont="1" applyBorder="1" applyAlignment="1">
      <alignment horizontal="center"/>
    </xf>
    <xf numFmtId="0" fontId="13" fillId="0" borderId="62" xfId="0" applyFont="1" applyBorder="1" applyAlignment="1">
      <alignment horizontal="center"/>
    </xf>
    <xf numFmtId="0" fontId="13" fillId="0" borderId="11" xfId="0" applyFont="1" applyBorder="1" applyAlignment="1">
      <alignment horizontal="center" wrapText="1"/>
    </xf>
    <xf numFmtId="0" fontId="13" fillId="0" borderId="63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vertical="center"/>
    </xf>
    <xf numFmtId="0" fontId="13" fillId="0" borderId="6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right" vertical="center"/>
    </xf>
    <xf numFmtId="0" fontId="13" fillId="0" borderId="6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vertical="center"/>
    </xf>
    <xf numFmtId="0" fontId="13" fillId="0" borderId="67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CCFFCC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144780</xdr:colOff>
      <xdr:row>1</xdr:row>
      <xdr:rowOff>116205</xdr:rowOff>
    </xdr:to>
    <xdr:sp macro="" textlink="">
      <xdr:nvSpPr>
        <xdr:cNvPr id="2" name="AutoShape 39">
          <a:extLst>
            <a:ext uri="{FF2B5EF4-FFF2-40B4-BE49-F238E27FC236}">
              <a16:creationId xmlns:a16="http://schemas.microsoft.com/office/drawing/2014/main" id="{571C32FC-C999-41CE-B5AD-463EF625FC1C}"/>
            </a:ext>
          </a:extLst>
        </xdr:cNvPr>
        <xdr:cNvSpPr>
          <a:spLocks noChangeArrowheads="1"/>
        </xdr:cNvSpPr>
      </xdr:nvSpPr>
      <xdr:spPr>
        <a:xfrm>
          <a:off x="4556760" y="0"/>
          <a:ext cx="7947660" cy="29908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 lIns="36576" tIns="36576" rIns="36576" bIns="36576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Template for Project Plan of Project-T</a:t>
          </a:r>
          <a:endParaRPr lang="de-DE"/>
        </a:p>
      </xdr:txBody>
    </xdr:sp>
    <xdr:clientData/>
  </xdr:twoCellAnchor>
  <xdr:oneCellAnchor>
    <xdr:from>
      <xdr:col>1</xdr:col>
      <xdr:colOff>8965</xdr:colOff>
      <xdr:row>5</xdr:row>
      <xdr:rowOff>161364</xdr:rowOff>
    </xdr:from>
    <xdr:ext cx="1288110" cy="636494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297C7A-1B59-4022-875B-218233771768}"/>
            </a:ext>
          </a:extLst>
        </xdr:cNvPr>
        <xdr:cNvSpPr txBox="1"/>
      </xdr:nvSpPr>
      <xdr:spPr>
        <a:xfrm>
          <a:off x="618565" y="1075764"/>
          <a:ext cx="1288110" cy="636494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Hemanth</a:t>
          </a:r>
          <a:r>
            <a:rPr lang="en-IN" sz="1100" b="0" i="0" u="none" strike="noStrik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Prabhakaran</a:t>
          </a:r>
          <a:endParaRPr lang="en-IN"/>
        </a:p>
        <a:p>
          <a:pPr algn="ctr"/>
          <a:r>
            <a:rPr lang="en-IN" sz="1100"/>
            <a:t>Matr.-Nr.  </a:t>
          </a:r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7026000</a:t>
          </a:r>
          <a:r>
            <a:rPr lang="en-IN"/>
            <a:t> </a:t>
          </a:r>
        </a:p>
        <a:p>
          <a:pPr algn="ctr"/>
          <a:r>
            <a:rPr lang="en-IN" sz="1100"/>
            <a:t>1. Sem  MBIDA</a:t>
          </a:r>
        </a:p>
        <a:p>
          <a:pPr algn="ctr"/>
          <a:endParaRPr lang="en-IN" sz="1100"/>
        </a:p>
      </xdr:txBody>
    </xdr:sp>
    <xdr:clientData/>
  </xdr:oneCellAnchor>
  <xdr:oneCellAnchor>
    <xdr:from>
      <xdr:col>3</xdr:col>
      <xdr:colOff>367553</xdr:colOff>
      <xdr:row>5</xdr:row>
      <xdr:rowOff>152400</xdr:rowOff>
    </xdr:from>
    <xdr:ext cx="1288110" cy="636494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3B28D54-B791-483B-963E-A9B4190A2B94}"/>
            </a:ext>
          </a:extLst>
        </xdr:cNvPr>
        <xdr:cNvSpPr txBox="1"/>
      </xdr:nvSpPr>
      <xdr:spPr>
        <a:xfrm>
          <a:off x="3705113" y="1066800"/>
          <a:ext cx="1288110" cy="63649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IN" sz="1100"/>
            <a:t>Mansoor</a:t>
          </a:r>
          <a:r>
            <a:rPr lang="en-IN" sz="1100" baseline="0"/>
            <a:t> Phoulady</a:t>
          </a:r>
        </a:p>
        <a:p>
          <a:pPr algn="ctr"/>
          <a:r>
            <a:rPr lang="en-IN" sz="1100" baseline="0"/>
            <a:t>Matr.-Nr. 7025671</a:t>
          </a:r>
        </a:p>
        <a:p>
          <a:pPr algn="ctr"/>
          <a:r>
            <a:rPr lang="en-IN" sz="1100" baseline="0"/>
            <a:t>2. Sem MBIDA</a:t>
          </a:r>
          <a:endParaRPr lang="en-IN" sz="1100"/>
        </a:p>
        <a:p>
          <a:endParaRPr lang="en-IN" sz="1100"/>
        </a:p>
      </xdr:txBody>
    </xdr:sp>
    <xdr:clientData/>
  </xdr:oneCellAnchor>
  <xdr:oneCellAnchor>
    <xdr:from>
      <xdr:col>1</xdr:col>
      <xdr:colOff>1532965</xdr:colOff>
      <xdr:row>5</xdr:row>
      <xdr:rowOff>152400</xdr:rowOff>
    </xdr:from>
    <xdr:ext cx="1288110" cy="636494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F97DC29-A919-45C2-A620-C3223CFC10AB}"/>
            </a:ext>
          </a:extLst>
        </xdr:cNvPr>
        <xdr:cNvSpPr txBox="1"/>
      </xdr:nvSpPr>
      <xdr:spPr>
        <a:xfrm>
          <a:off x="2142565" y="1066800"/>
          <a:ext cx="1288110" cy="636494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 rtl="0"/>
          <a:r>
            <a:rPr lang="de-DE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Ranjeetsing Tawar</a:t>
          </a:r>
          <a:endParaRPr lang="en-IN">
            <a:effectLst/>
          </a:endParaRPr>
        </a:p>
        <a:p>
          <a:pPr algn="ctr" rtl="0"/>
          <a:r>
            <a:rPr lang="de-DE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Matr.-Nr.   7026116</a:t>
          </a:r>
          <a:endParaRPr lang="en-IN">
            <a:effectLst/>
          </a:endParaRPr>
        </a:p>
        <a:p>
          <a:pPr algn="ctr" rtl="0"/>
          <a:r>
            <a:rPr lang="de-DE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Sem   MBIDA</a:t>
          </a:r>
          <a:endParaRPr lang="en-IN">
            <a:effectLst/>
          </a:endParaRPr>
        </a:p>
        <a:p>
          <a:pPr algn="ctr"/>
          <a:endParaRPr lang="en-IN" sz="1100"/>
        </a:p>
      </xdr:txBody>
    </xdr:sp>
    <xdr:clientData/>
  </xdr:oneCellAnchor>
  <xdr:oneCellAnchor>
    <xdr:from>
      <xdr:col>1</xdr:col>
      <xdr:colOff>1568824</xdr:colOff>
      <xdr:row>3</xdr:row>
      <xdr:rowOff>0</xdr:rowOff>
    </xdr:from>
    <xdr:ext cx="1288110" cy="197224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30F0D6E-29B5-4588-B6CA-A9680AE40F1E}"/>
            </a:ext>
          </a:extLst>
        </xdr:cNvPr>
        <xdr:cNvSpPr txBox="1"/>
      </xdr:nvSpPr>
      <xdr:spPr>
        <a:xfrm>
          <a:off x="2178424" y="548640"/>
          <a:ext cx="1288110" cy="197224"/>
        </a:xfrm>
        <a:prstGeom prst="rect">
          <a:avLst/>
        </a:prstGeom>
        <a:solidFill>
          <a:srgbClr val="FAFAC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algn="ctr"/>
          <a:r>
            <a:rPr lang="en-IN" sz="1100"/>
            <a:t>All Groupmates</a:t>
          </a:r>
        </a:p>
        <a:p>
          <a:endParaRPr lang="en-IN" sz="1100"/>
        </a:p>
      </xdr:txBody>
    </xdr:sp>
    <xdr:clientData/>
  </xdr:oneCellAnchor>
  <xdr:twoCellAnchor>
    <xdr:from>
      <xdr:col>3</xdr:col>
      <xdr:colOff>0</xdr:colOff>
      <xdr:row>13</xdr:row>
      <xdr:rowOff>0</xdr:rowOff>
    </xdr:from>
    <xdr:to>
      <xdr:col>3</xdr:col>
      <xdr:colOff>280670</xdr:colOff>
      <xdr:row>13</xdr:row>
      <xdr:rowOff>171450</xdr:rowOff>
    </xdr:to>
    <xdr:sp macro="" textlink="">
      <xdr:nvSpPr>
        <xdr:cNvPr id="7" name="Rectangle 6" descr="10%">
          <a:extLst>
            <a:ext uri="{FF2B5EF4-FFF2-40B4-BE49-F238E27FC236}">
              <a16:creationId xmlns:a16="http://schemas.microsoft.com/office/drawing/2014/main" id="{85497EC0-E274-48C1-A045-E1471058211E}"/>
            </a:ext>
          </a:extLst>
        </xdr:cNvPr>
        <xdr:cNvSpPr>
          <a:spLocks noChangeAspect="1" noChangeArrowheads="1"/>
        </xdr:cNvSpPr>
      </xdr:nvSpPr>
      <xdr:spPr>
        <a:xfrm>
          <a:off x="3337560" y="2468880"/>
          <a:ext cx="28067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208952</xdr:colOff>
      <xdr:row>13</xdr:row>
      <xdr:rowOff>175894</xdr:rowOff>
    </xdr:from>
    <xdr:to>
      <xdr:col>3</xdr:col>
      <xdr:colOff>486918</xdr:colOff>
      <xdr:row>14</xdr:row>
      <xdr:rowOff>170329</xdr:rowOff>
    </xdr:to>
    <xdr:sp macro="" textlink="">
      <xdr:nvSpPr>
        <xdr:cNvPr id="8" name="Rectangle 7" descr="10%">
          <a:extLst>
            <a:ext uri="{FF2B5EF4-FFF2-40B4-BE49-F238E27FC236}">
              <a16:creationId xmlns:a16="http://schemas.microsoft.com/office/drawing/2014/main" id="{38280271-420E-457D-8794-CE2EEF78844E}"/>
            </a:ext>
          </a:extLst>
        </xdr:cNvPr>
        <xdr:cNvSpPr>
          <a:spLocks noChangeAspect="1" noChangeArrowheads="1"/>
        </xdr:cNvSpPr>
      </xdr:nvSpPr>
      <xdr:spPr>
        <a:xfrm>
          <a:off x="3546512" y="2644774"/>
          <a:ext cx="277966" cy="17731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355189</xdr:colOff>
      <xdr:row>14</xdr:row>
      <xdr:rowOff>177502</xdr:rowOff>
    </xdr:from>
    <xdr:to>
      <xdr:col>3</xdr:col>
      <xdr:colOff>604744</xdr:colOff>
      <xdr:row>15</xdr:row>
      <xdr:rowOff>169658</xdr:rowOff>
    </xdr:to>
    <xdr:sp macro="" textlink="">
      <xdr:nvSpPr>
        <xdr:cNvPr id="9" name="Rectangle 8" descr="10%">
          <a:extLst>
            <a:ext uri="{FF2B5EF4-FFF2-40B4-BE49-F238E27FC236}">
              <a16:creationId xmlns:a16="http://schemas.microsoft.com/office/drawing/2014/main" id="{259ADDB3-EC9B-468C-9BCD-E7ACB9CC087C}"/>
            </a:ext>
          </a:extLst>
        </xdr:cNvPr>
        <xdr:cNvSpPr>
          <a:spLocks noChangeAspect="1" noChangeArrowheads="1"/>
        </xdr:cNvSpPr>
      </xdr:nvSpPr>
      <xdr:spPr>
        <a:xfrm>
          <a:off x="3692749" y="2829262"/>
          <a:ext cx="249555" cy="17503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0</xdr:colOff>
      <xdr:row>13</xdr:row>
      <xdr:rowOff>98611</xdr:rowOff>
    </xdr:from>
    <xdr:to>
      <xdr:col>3</xdr:col>
      <xdr:colOff>274320</xdr:colOff>
      <xdr:row>13</xdr:row>
      <xdr:rowOff>179256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1BB3058-F268-4468-A36D-7D61B45D20C0}"/>
            </a:ext>
          </a:extLst>
        </xdr:cNvPr>
        <xdr:cNvSpPr>
          <a:spLocks noChangeAspect="1" noChangeArrowheads="1"/>
        </xdr:cNvSpPr>
      </xdr:nvSpPr>
      <xdr:spPr>
        <a:xfrm>
          <a:off x="3337560" y="2567491"/>
          <a:ext cx="274320" cy="8064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206189</xdr:colOff>
      <xdr:row>14</xdr:row>
      <xdr:rowOff>107576</xdr:rowOff>
    </xdr:from>
    <xdr:to>
      <xdr:col>3</xdr:col>
      <xdr:colOff>394446</xdr:colOff>
      <xdr:row>14</xdr:row>
      <xdr:rowOff>166406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C7591CC0-F766-4F97-B0AC-A0D3CD380102}"/>
            </a:ext>
          </a:extLst>
        </xdr:cNvPr>
        <xdr:cNvSpPr>
          <a:spLocks noChangeAspect="1" noChangeArrowheads="1"/>
        </xdr:cNvSpPr>
      </xdr:nvSpPr>
      <xdr:spPr>
        <a:xfrm>
          <a:off x="3543749" y="2759336"/>
          <a:ext cx="188257" cy="5883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358589</xdr:colOff>
      <xdr:row>15</xdr:row>
      <xdr:rowOff>98612</xdr:rowOff>
    </xdr:from>
    <xdr:to>
      <xdr:col>3</xdr:col>
      <xdr:colOff>602429</xdr:colOff>
      <xdr:row>15</xdr:row>
      <xdr:rowOff>179257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656688-F92D-4C76-9C72-C9D3EAC2DC60}"/>
            </a:ext>
          </a:extLst>
        </xdr:cNvPr>
        <xdr:cNvSpPr>
          <a:spLocks noChangeAspect="1" noChangeArrowheads="1"/>
        </xdr:cNvSpPr>
      </xdr:nvSpPr>
      <xdr:spPr>
        <a:xfrm>
          <a:off x="3696149" y="2933252"/>
          <a:ext cx="243840" cy="8064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0</xdr:colOff>
      <xdr:row>17</xdr:row>
      <xdr:rowOff>8965</xdr:rowOff>
    </xdr:from>
    <xdr:to>
      <xdr:col>7</xdr:col>
      <xdr:colOff>3810</xdr:colOff>
      <xdr:row>17</xdr:row>
      <xdr:rowOff>177240</xdr:rowOff>
    </xdr:to>
    <xdr:sp macro="" textlink="">
      <xdr:nvSpPr>
        <xdr:cNvPr id="13" name="Rectangle 12" descr="10%">
          <a:extLst>
            <a:ext uri="{FF2B5EF4-FFF2-40B4-BE49-F238E27FC236}">
              <a16:creationId xmlns:a16="http://schemas.microsoft.com/office/drawing/2014/main" id="{0590437B-E2FC-4327-B2E9-702E27BE3C95}"/>
            </a:ext>
          </a:extLst>
        </xdr:cNvPr>
        <xdr:cNvSpPr>
          <a:spLocks noChangeAspect="1" noChangeArrowheads="1"/>
        </xdr:cNvSpPr>
      </xdr:nvSpPr>
      <xdr:spPr>
        <a:xfrm>
          <a:off x="3337560" y="3209365"/>
          <a:ext cx="2442210" cy="16827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0</xdr:colOff>
      <xdr:row>17</xdr:row>
      <xdr:rowOff>98611</xdr:rowOff>
    </xdr:from>
    <xdr:to>
      <xdr:col>4</xdr:col>
      <xdr:colOff>512445</xdr:colOff>
      <xdr:row>17</xdr:row>
      <xdr:rowOff>174811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3CF0FC9C-6E91-426F-9EFB-9FE57E372EB8}"/>
            </a:ext>
          </a:extLst>
        </xdr:cNvPr>
        <xdr:cNvSpPr>
          <a:spLocks noChangeAspect="1" noChangeArrowheads="1"/>
        </xdr:cNvSpPr>
      </xdr:nvSpPr>
      <xdr:spPr>
        <a:xfrm>
          <a:off x="3337560" y="3299011"/>
          <a:ext cx="1122045" cy="76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358588</xdr:colOff>
      <xdr:row>16</xdr:row>
      <xdr:rowOff>17929</xdr:rowOff>
    </xdr:from>
    <xdr:to>
      <xdr:col>4</xdr:col>
      <xdr:colOff>175708</xdr:colOff>
      <xdr:row>17</xdr:row>
      <xdr:rowOff>4370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AEE1A983-0840-4356-9F71-9AE1777C57CB}"/>
            </a:ext>
          </a:extLst>
        </xdr:cNvPr>
        <xdr:cNvSpPr>
          <a:spLocks noChangeArrowheads="1"/>
        </xdr:cNvSpPr>
      </xdr:nvSpPr>
      <xdr:spPr>
        <a:xfrm>
          <a:off x="3696148" y="3035449"/>
          <a:ext cx="426720" cy="16932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3</xdr:col>
      <xdr:colOff>367553</xdr:colOff>
      <xdr:row>16</xdr:row>
      <xdr:rowOff>89647</xdr:rowOff>
    </xdr:from>
    <xdr:to>
      <xdr:col>4</xdr:col>
      <xdr:colOff>168163</xdr:colOff>
      <xdr:row>16</xdr:row>
      <xdr:rowOff>174102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D6569E4-92F3-4A27-9448-B92873AD5CCB}"/>
            </a:ext>
          </a:extLst>
        </xdr:cNvPr>
        <xdr:cNvSpPr>
          <a:spLocks noChangeAspect="1" noChangeArrowheads="1"/>
        </xdr:cNvSpPr>
      </xdr:nvSpPr>
      <xdr:spPr>
        <a:xfrm flipV="1">
          <a:off x="3705113" y="3107167"/>
          <a:ext cx="410210" cy="8445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8963</xdr:colOff>
      <xdr:row>18</xdr:row>
      <xdr:rowOff>8964</xdr:rowOff>
    </xdr:from>
    <xdr:to>
      <xdr:col>6</xdr:col>
      <xdr:colOff>26892</xdr:colOff>
      <xdr:row>18</xdr:row>
      <xdr:rowOff>170329</xdr:rowOff>
    </xdr:to>
    <xdr:sp macro="" textlink="">
      <xdr:nvSpPr>
        <xdr:cNvPr id="17" name="Rectangle 16" descr="10%">
          <a:extLst>
            <a:ext uri="{FF2B5EF4-FFF2-40B4-BE49-F238E27FC236}">
              <a16:creationId xmlns:a16="http://schemas.microsoft.com/office/drawing/2014/main" id="{B5334D99-6007-4114-9E1B-277E4488E3E7}"/>
            </a:ext>
          </a:extLst>
        </xdr:cNvPr>
        <xdr:cNvSpPr>
          <a:spLocks noChangeArrowheads="1"/>
        </xdr:cNvSpPr>
      </xdr:nvSpPr>
      <xdr:spPr>
        <a:xfrm>
          <a:off x="4565723" y="3392244"/>
          <a:ext cx="627529" cy="16136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322729</xdr:colOff>
      <xdr:row>18</xdr:row>
      <xdr:rowOff>170329</xdr:rowOff>
    </xdr:from>
    <xdr:to>
      <xdr:col>6</xdr:col>
      <xdr:colOff>403411</xdr:colOff>
      <xdr:row>19</xdr:row>
      <xdr:rowOff>170330</xdr:rowOff>
    </xdr:to>
    <xdr:sp macro="" textlink="">
      <xdr:nvSpPr>
        <xdr:cNvPr id="18" name="Rectangle 17" descr="10%">
          <a:extLst>
            <a:ext uri="{FF2B5EF4-FFF2-40B4-BE49-F238E27FC236}">
              <a16:creationId xmlns:a16="http://schemas.microsoft.com/office/drawing/2014/main" id="{184092F4-B30A-4B40-83F3-AD1C88115950}"/>
            </a:ext>
          </a:extLst>
        </xdr:cNvPr>
        <xdr:cNvSpPr>
          <a:spLocks noChangeArrowheads="1"/>
        </xdr:cNvSpPr>
      </xdr:nvSpPr>
      <xdr:spPr>
        <a:xfrm>
          <a:off x="4879489" y="3553609"/>
          <a:ext cx="690282" cy="18288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600635</xdr:colOff>
      <xdr:row>19</xdr:row>
      <xdr:rowOff>179293</xdr:rowOff>
    </xdr:from>
    <xdr:to>
      <xdr:col>7</xdr:col>
      <xdr:colOff>104065</xdr:colOff>
      <xdr:row>20</xdr:row>
      <xdr:rowOff>166369</xdr:rowOff>
    </xdr:to>
    <xdr:sp macro="" textlink="">
      <xdr:nvSpPr>
        <xdr:cNvPr id="19" name="Rectangle 18" descr="10%">
          <a:extLst>
            <a:ext uri="{FF2B5EF4-FFF2-40B4-BE49-F238E27FC236}">
              <a16:creationId xmlns:a16="http://schemas.microsoft.com/office/drawing/2014/main" id="{8885B262-34B7-4814-9F63-10019117329C}"/>
            </a:ext>
          </a:extLst>
        </xdr:cNvPr>
        <xdr:cNvSpPr>
          <a:spLocks noChangeArrowheads="1"/>
        </xdr:cNvSpPr>
      </xdr:nvSpPr>
      <xdr:spPr>
        <a:xfrm>
          <a:off x="5157395" y="3745453"/>
          <a:ext cx="722630" cy="16995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0</xdr:colOff>
      <xdr:row>20</xdr:row>
      <xdr:rowOff>179293</xdr:rowOff>
    </xdr:from>
    <xdr:to>
      <xdr:col>8</xdr:col>
      <xdr:colOff>0</xdr:colOff>
      <xdr:row>21</xdr:row>
      <xdr:rowOff>170328</xdr:rowOff>
    </xdr:to>
    <xdr:sp macro="" textlink="">
      <xdr:nvSpPr>
        <xdr:cNvPr id="20" name="Rectangle 19" descr="10%">
          <a:extLst>
            <a:ext uri="{FF2B5EF4-FFF2-40B4-BE49-F238E27FC236}">
              <a16:creationId xmlns:a16="http://schemas.microsoft.com/office/drawing/2014/main" id="{A280F9CE-D43F-49D2-BEDA-F2A0E99142E8}"/>
            </a:ext>
          </a:extLst>
        </xdr:cNvPr>
        <xdr:cNvSpPr>
          <a:spLocks noChangeArrowheads="1"/>
        </xdr:cNvSpPr>
      </xdr:nvSpPr>
      <xdr:spPr>
        <a:xfrm>
          <a:off x="5775960" y="3928333"/>
          <a:ext cx="731520" cy="17391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0</xdr:colOff>
      <xdr:row>22</xdr:row>
      <xdr:rowOff>0</xdr:rowOff>
    </xdr:from>
    <xdr:to>
      <xdr:col>7</xdr:col>
      <xdr:colOff>722630</xdr:colOff>
      <xdr:row>22</xdr:row>
      <xdr:rowOff>166370</xdr:rowOff>
    </xdr:to>
    <xdr:sp macro="" textlink="">
      <xdr:nvSpPr>
        <xdr:cNvPr id="21" name="Rectangle 20" descr="10%">
          <a:extLst>
            <a:ext uri="{FF2B5EF4-FFF2-40B4-BE49-F238E27FC236}">
              <a16:creationId xmlns:a16="http://schemas.microsoft.com/office/drawing/2014/main" id="{4F1CD2AB-BC79-4D57-B3C6-27BFD500463D}"/>
            </a:ext>
          </a:extLst>
        </xdr:cNvPr>
        <xdr:cNvSpPr>
          <a:spLocks noChangeArrowheads="1"/>
        </xdr:cNvSpPr>
      </xdr:nvSpPr>
      <xdr:spPr>
        <a:xfrm>
          <a:off x="5775960" y="4114800"/>
          <a:ext cx="722630" cy="16637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8964</xdr:colOff>
      <xdr:row>23</xdr:row>
      <xdr:rowOff>0</xdr:rowOff>
    </xdr:from>
    <xdr:to>
      <xdr:col>7</xdr:col>
      <xdr:colOff>731594</xdr:colOff>
      <xdr:row>23</xdr:row>
      <xdr:rowOff>166370</xdr:rowOff>
    </xdr:to>
    <xdr:sp macro="" textlink="">
      <xdr:nvSpPr>
        <xdr:cNvPr id="22" name="Rectangle 21" descr="10%">
          <a:extLst>
            <a:ext uri="{FF2B5EF4-FFF2-40B4-BE49-F238E27FC236}">
              <a16:creationId xmlns:a16="http://schemas.microsoft.com/office/drawing/2014/main" id="{449C9574-5D7D-48B7-9D82-F04CE5D05641}"/>
            </a:ext>
          </a:extLst>
        </xdr:cNvPr>
        <xdr:cNvSpPr>
          <a:spLocks noChangeArrowheads="1"/>
        </xdr:cNvSpPr>
      </xdr:nvSpPr>
      <xdr:spPr>
        <a:xfrm>
          <a:off x="5784924" y="4297680"/>
          <a:ext cx="722630" cy="16637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0</xdr:colOff>
      <xdr:row>23</xdr:row>
      <xdr:rowOff>179293</xdr:rowOff>
    </xdr:from>
    <xdr:to>
      <xdr:col>8</xdr:col>
      <xdr:colOff>448236</xdr:colOff>
      <xdr:row>24</xdr:row>
      <xdr:rowOff>170330</xdr:rowOff>
    </xdr:to>
    <xdr:sp macro="" textlink="">
      <xdr:nvSpPr>
        <xdr:cNvPr id="23" name="Rectangle 22" descr="10%">
          <a:extLst>
            <a:ext uri="{FF2B5EF4-FFF2-40B4-BE49-F238E27FC236}">
              <a16:creationId xmlns:a16="http://schemas.microsoft.com/office/drawing/2014/main" id="{71298594-C0D9-47F7-8CE2-0AFFD644C804}"/>
            </a:ext>
          </a:extLst>
        </xdr:cNvPr>
        <xdr:cNvSpPr>
          <a:spLocks noChangeArrowheads="1"/>
        </xdr:cNvSpPr>
      </xdr:nvSpPr>
      <xdr:spPr>
        <a:xfrm>
          <a:off x="5775960" y="4476973"/>
          <a:ext cx="1179756" cy="173917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403410</xdr:colOff>
      <xdr:row>25</xdr:row>
      <xdr:rowOff>8965</xdr:rowOff>
    </xdr:from>
    <xdr:to>
      <xdr:col>9</xdr:col>
      <xdr:colOff>17930</xdr:colOff>
      <xdr:row>26</xdr:row>
      <xdr:rowOff>4034</xdr:rowOff>
    </xdr:to>
    <xdr:sp macro="" textlink="">
      <xdr:nvSpPr>
        <xdr:cNvPr id="24" name="Rectangle 23" descr="10%">
          <a:extLst>
            <a:ext uri="{FF2B5EF4-FFF2-40B4-BE49-F238E27FC236}">
              <a16:creationId xmlns:a16="http://schemas.microsoft.com/office/drawing/2014/main" id="{2DCB22B8-345F-4BA1-8560-E83A138F6148}"/>
            </a:ext>
          </a:extLst>
        </xdr:cNvPr>
        <xdr:cNvSpPr>
          <a:spLocks noChangeArrowheads="1"/>
        </xdr:cNvSpPr>
      </xdr:nvSpPr>
      <xdr:spPr>
        <a:xfrm>
          <a:off x="6179370" y="4672405"/>
          <a:ext cx="1077560" cy="177949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8</xdr:col>
      <xdr:colOff>8965</xdr:colOff>
      <xdr:row>26</xdr:row>
      <xdr:rowOff>17929</xdr:rowOff>
    </xdr:from>
    <xdr:to>
      <xdr:col>9</xdr:col>
      <xdr:colOff>389554</xdr:colOff>
      <xdr:row>27</xdr:row>
      <xdr:rowOff>2690</xdr:rowOff>
    </xdr:to>
    <xdr:sp macro="" textlink="">
      <xdr:nvSpPr>
        <xdr:cNvPr id="25" name="Rectangle 24" descr="10%">
          <a:extLst>
            <a:ext uri="{FF2B5EF4-FFF2-40B4-BE49-F238E27FC236}">
              <a16:creationId xmlns:a16="http://schemas.microsoft.com/office/drawing/2014/main" id="{12DE2454-3901-4343-94E5-2220A3A2F603}"/>
            </a:ext>
          </a:extLst>
        </xdr:cNvPr>
        <xdr:cNvSpPr>
          <a:spLocks noChangeArrowheads="1"/>
        </xdr:cNvSpPr>
      </xdr:nvSpPr>
      <xdr:spPr>
        <a:xfrm>
          <a:off x="6516445" y="4864249"/>
          <a:ext cx="1112109" cy="16764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8</xdr:col>
      <xdr:colOff>2391</xdr:colOff>
      <xdr:row>27</xdr:row>
      <xdr:rowOff>7171</xdr:rowOff>
    </xdr:from>
    <xdr:to>
      <xdr:col>9</xdr:col>
      <xdr:colOff>394447</xdr:colOff>
      <xdr:row>28</xdr:row>
      <xdr:rowOff>8964</xdr:rowOff>
    </xdr:to>
    <xdr:sp macro="" textlink="">
      <xdr:nvSpPr>
        <xdr:cNvPr id="26" name="Rectangle 25" descr="10%">
          <a:extLst>
            <a:ext uri="{FF2B5EF4-FFF2-40B4-BE49-F238E27FC236}">
              <a16:creationId xmlns:a16="http://schemas.microsoft.com/office/drawing/2014/main" id="{CD8F4D1C-EBE7-4106-A056-F26BAC924AA8}"/>
            </a:ext>
          </a:extLst>
        </xdr:cNvPr>
        <xdr:cNvSpPr>
          <a:spLocks noChangeArrowheads="1"/>
        </xdr:cNvSpPr>
      </xdr:nvSpPr>
      <xdr:spPr>
        <a:xfrm>
          <a:off x="6509871" y="5036371"/>
          <a:ext cx="1123576" cy="184673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8</xdr:col>
      <xdr:colOff>0</xdr:colOff>
      <xdr:row>28</xdr:row>
      <xdr:rowOff>8965</xdr:rowOff>
    </xdr:from>
    <xdr:to>
      <xdr:col>9</xdr:col>
      <xdr:colOff>385483</xdr:colOff>
      <xdr:row>29</xdr:row>
      <xdr:rowOff>10759</xdr:rowOff>
    </xdr:to>
    <xdr:sp macro="" textlink="">
      <xdr:nvSpPr>
        <xdr:cNvPr id="27" name="Rectangle 26" descr="10%">
          <a:extLst>
            <a:ext uri="{FF2B5EF4-FFF2-40B4-BE49-F238E27FC236}">
              <a16:creationId xmlns:a16="http://schemas.microsoft.com/office/drawing/2014/main" id="{BD9F636F-DDB7-42F7-A65F-8445E44E77EE}"/>
            </a:ext>
          </a:extLst>
        </xdr:cNvPr>
        <xdr:cNvSpPr>
          <a:spLocks noChangeArrowheads="1"/>
        </xdr:cNvSpPr>
      </xdr:nvSpPr>
      <xdr:spPr>
        <a:xfrm>
          <a:off x="6507480" y="5221045"/>
          <a:ext cx="1117003" cy="184674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9</xdr:col>
      <xdr:colOff>382494</xdr:colOff>
      <xdr:row>29</xdr:row>
      <xdr:rowOff>8966</xdr:rowOff>
    </xdr:from>
    <xdr:to>
      <xdr:col>10</xdr:col>
      <xdr:colOff>726141</xdr:colOff>
      <xdr:row>29</xdr:row>
      <xdr:rowOff>170330</xdr:rowOff>
    </xdr:to>
    <xdr:sp macro="" textlink="">
      <xdr:nvSpPr>
        <xdr:cNvPr id="28" name="Rectangle 27" descr="10%">
          <a:extLst>
            <a:ext uri="{FF2B5EF4-FFF2-40B4-BE49-F238E27FC236}">
              <a16:creationId xmlns:a16="http://schemas.microsoft.com/office/drawing/2014/main" id="{4C447FF7-57E9-4A36-90B3-33FDD25F63A0}"/>
            </a:ext>
          </a:extLst>
        </xdr:cNvPr>
        <xdr:cNvSpPr>
          <a:spLocks noChangeArrowheads="1"/>
        </xdr:cNvSpPr>
      </xdr:nvSpPr>
      <xdr:spPr>
        <a:xfrm>
          <a:off x="7621494" y="5403926"/>
          <a:ext cx="1075167" cy="161364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9</xdr:col>
      <xdr:colOff>372185</xdr:colOff>
      <xdr:row>29</xdr:row>
      <xdr:rowOff>170329</xdr:rowOff>
    </xdr:from>
    <xdr:to>
      <xdr:col>10</xdr:col>
      <xdr:colOff>726141</xdr:colOff>
      <xdr:row>30</xdr:row>
      <xdr:rowOff>167640</xdr:rowOff>
    </xdr:to>
    <xdr:sp macro="" textlink="">
      <xdr:nvSpPr>
        <xdr:cNvPr id="29" name="Rectangle 28" descr="10%">
          <a:extLst>
            <a:ext uri="{FF2B5EF4-FFF2-40B4-BE49-F238E27FC236}">
              <a16:creationId xmlns:a16="http://schemas.microsoft.com/office/drawing/2014/main" id="{6D5504D6-6C51-48F6-AEDE-E6FDA948F7C7}"/>
            </a:ext>
          </a:extLst>
        </xdr:cNvPr>
        <xdr:cNvSpPr>
          <a:spLocks noChangeArrowheads="1"/>
        </xdr:cNvSpPr>
      </xdr:nvSpPr>
      <xdr:spPr>
        <a:xfrm>
          <a:off x="7611185" y="5565289"/>
          <a:ext cx="1085476" cy="18019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9</xdr:col>
      <xdr:colOff>372184</xdr:colOff>
      <xdr:row>31</xdr:row>
      <xdr:rowOff>0</xdr:rowOff>
    </xdr:from>
    <xdr:to>
      <xdr:col>10</xdr:col>
      <xdr:colOff>726141</xdr:colOff>
      <xdr:row>31</xdr:row>
      <xdr:rowOff>177502</xdr:rowOff>
    </xdr:to>
    <xdr:sp macro="" textlink="">
      <xdr:nvSpPr>
        <xdr:cNvPr id="30" name="Rectangle 29" descr="10%">
          <a:extLst>
            <a:ext uri="{FF2B5EF4-FFF2-40B4-BE49-F238E27FC236}">
              <a16:creationId xmlns:a16="http://schemas.microsoft.com/office/drawing/2014/main" id="{245C6239-252A-42E0-9E31-79E16DB6CFD5}"/>
            </a:ext>
          </a:extLst>
        </xdr:cNvPr>
        <xdr:cNvSpPr>
          <a:spLocks noChangeArrowheads="1"/>
        </xdr:cNvSpPr>
      </xdr:nvSpPr>
      <xdr:spPr>
        <a:xfrm>
          <a:off x="7611184" y="5760720"/>
          <a:ext cx="1085477" cy="177502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11</xdr:col>
      <xdr:colOff>0</xdr:colOff>
      <xdr:row>32</xdr:row>
      <xdr:rowOff>0</xdr:rowOff>
    </xdr:from>
    <xdr:to>
      <xdr:col>11</xdr:col>
      <xdr:colOff>729615</xdr:colOff>
      <xdr:row>32</xdr:row>
      <xdr:rowOff>166370</xdr:rowOff>
    </xdr:to>
    <xdr:sp macro="" textlink="">
      <xdr:nvSpPr>
        <xdr:cNvPr id="31" name="Rectangle 30" descr="10%">
          <a:extLst>
            <a:ext uri="{FF2B5EF4-FFF2-40B4-BE49-F238E27FC236}">
              <a16:creationId xmlns:a16="http://schemas.microsoft.com/office/drawing/2014/main" id="{EC4D54F9-FCA3-48F1-B4F5-9DC04C6A22C0}"/>
            </a:ext>
          </a:extLst>
        </xdr:cNvPr>
        <xdr:cNvSpPr>
          <a:spLocks noChangeArrowheads="1"/>
        </xdr:cNvSpPr>
      </xdr:nvSpPr>
      <xdr:spPr>
        <a:xfrm>
          <a:off x="8702040" y="5943600"/>
          <a:ext cx="729615" cy="16637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11</xdr:col>
      <xdr:colOff>7620</xdr:colOff>
      <xdr:row>33</xdr:row>
      <xdr:rowOff>18191</xdr:rowOff>
    </xdr:from>
    <xdr:to>
      <xdr:col>11</xdr:col>
      <xdr:colOff>734060</xdr:colOff>
      <xdr:row>33</xdr:row>
      <xdr:rowOff>157256</xdr:rowOff>
    </xdr:to>
    <xdr:sp macro="" textlink="">
      <xdr:nvSpPr>
        <xdr:cNvPr id="32" name="Rectangle 31" descr="10%">
          <a:extLst>
            <a:ext uri="{FF2B5EF4-FFF2-40B4-BE49-F238E27FC236}">
              <a16:creationId xmlns:a16="http://schemas.microsoft.com/office/drawing/2014/main" id="{DB0E45D1-BFA0-4C95-9D94-B18CB637CE92}"/>
            </a:ext>
          </a:extLst>
        </xdr:cNvPr>
        <xdr:cNvSpPr>
          <a:spLocks noChangeArrowheads="1"/>
        </xdr:cNvSpPr>
      </xdr:nvSpPr>
      <xdr:spPr>
        <a:xfrm>
          <a:off x="8709660" y="6144671"/>
          <a:ext cx="726440" cy="13906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12</xdr:col>
      <xdr:colOff>11019</xdr:colOff>
      <xdr:row>34</xdr:row>
      <xdr:rowOff>6312</xdr:rowOff>
    </xdr:from>
    <xdr:to>
      <xdr:col>12</xdr:col>
      <xdr:colOff>527909</xdr:colOff>
      <xdr:row>34</xdr:row>
      <xdr:rowOff>158712</xdr:rowOff>
    </xdr:to>
    <xdr:sp macro="" textlink="">
      <xdr:nvSpPr>
        <xdr:cNvPr id="33" name="Rectangle 32" descr="10%">
          <a:extLst>
            <a:ext uri="{FF2B5EF4-FFF2-40B4-BE49-F238E27FC236}">
              <a16:creationId xmlns:a16="http://schemas.microsoft.com/office/drawing/2014/main" id="{63AFBB7C-CC1C-4E37-9CD5-966691432076}"/>
            </a:ext>
          </a:extLst>
        </xdr:cNvPr>
        <xdr:cNvSpPr>
          <a:spLocks noChangeArrowheads="1"/>
        </xdr:cNvSpPr>
      </xdr:nvSpPr>
      <xdr:spPr>
        <a:xfrm>
          <a:off x="9444579" y="6498552"/>
          <a:ext cx="516890" cy="15240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13</xdr:col>
      <xdr:colOff>491303</xdr:colOff>
      <xdr:row>37</xdr:row>
      <xdr:rowOff>18340</xdr:rowOff>
    </xdr:from>
    <xdr:to>
      <xdr:col>14</xdr:col>
      <xdr:colOff>718857</xdr:colOff>
      <xdr:row>38</xdr:row>
      <xdr:rowOff>971</xdr:rowOff>
    </xdr:to>
    <xdr:sp macro="" textlink="">
      <xdr:nvSpPr>
        <xdr:cNvPr id="34" name="Rectangle 33" descr="10%">
          <a:extLst>
            <a:ext uri="{FF2B5EF4-FFF2-40B4-BE49-F238E27FC236}">
              <a16:creationId xmlns:a16="http://schemas.microsoft.com/office/drawing/2014/main" id="{832E0E84-BBF8-4318-B92D-BE1809456E7C}"/>
            </a:ext>
          </a:extLst>
        </xdr:cNvPr>
        <xdr:cNvSpPr>
          <a:spLocks noChangeArrowheads="1"/>
        </xdr:cNvSpPr>
      </xdr:nvSpPr>
      <xdr:spPr>
        <a:xfrm>
          <a:off x="10656383" y="7059220"/>
          <a:ext cx="959074" cy="16551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12</xdr:col>
      <xdr:colOff>26894</xdr:colOff>
      <xdr:row>35</xdr:row>
      <xdr:rowOff>23233</xdr:rowOff>
    </xdr:from>
    <xdr:to>
      <xdr:col>13</xdr:col>
      <xdr:colOff>722443</xdr:colOff>
      <xdr:row>35</xdr:row>
      <xdr:rowOff>175633</xdr:rowOff>
    </xdr:to>
    <xdr:sp macro="" textlink="">
      <xdr:nvSpPr>
        <xdr:cNvPr id="36" name="Rectangle 35" descr="10%">
          <a:extLst>
            <a:ext uri="{FF2B5EF4-FFF2-40B4-BE49-F238E27FC236}">
              <a16:creationId xmlns:a16="http://schemas.microsoft.com/office/drawing/2014/main" id="{86264EAD-21B3-4469-8E46-DDE5DA9E76D7}"/>
            </a:ext>
          </a:extLst>
        </xdr:cNvPr>
        <xdr:cNvSpPr>
          <a:spLocks noChangeArrowheads="1"/>
        </xdr:cNvSpPr>
      </xdr:nvSpPr>
      <xdr:spPr>
        <a:xfrm>
          <a:off x="9460454" y="6698353"/>
          <a:ext cx="1427069" cy="15240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12</xdr:col>
      <xdr:colOff>726029</xdr:colOff>
      <xdr:row>36</xdr:row>
      <xdr:rowOff>13484</xdr:rowOff>
    </xdr:from>
    <xdr:to>
      <xdr:col>13</xdr:col>
      <xdr:colOff>722443</xdr:colOff>
      <xdr:row>36</xdr:row>
      <xdr:rowOff>152549</xdr:rowOff>
    </xdr:to>
    <xdr:sp macro="" textlink="">
      <xdr:nvSpPr>
        <xdr:cNvPr id="37" name="Rectangle 36" descr="10%">
          <a:extLst>
            <a:ext uri="{FF2B5EF4-FFF2-40B4-BE49-F238E27FC236}">
              <a16:creationId xmlns:a16="http://schemas.microsoft.com/office/drawing/2014/main" id="{E908E89B-070A-4840-9EC9-E88BF6C37FC7}"/>
            </a:ext>
          </a:extLst>
        </xdr:cNvPr>
        <xdr:cNvSpPr>
          <a:spLocks noChangeArrowheads="1"/>
        </xdr:cNvSpPr>
      </xdr:nvSpPr>
      <xdr:spPr>
        <a:xfrm>
          <a:off x="10159589" y="6871484"/>
          <a:ext cx="727934" cy="13906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16</xdr:col>
      <xdr:colOff>8965</xdr:colOff>
      <xdr:row>38</xdr:row>
      <xdr:rowOff>35859</xdr:rowOff>
    </xdr:from>
    <xdr:to>
      <xdr:col>17</xdr:col>
      <xdr:colOff>380665</xdr:colOff>
      <xdr:row>39</xdr:row>
      <xdr:rowOff>4520</xdr:rowOff>
    </xdr:to>
    <xdr:sp macro="" textlink="">
      <xdr:nvSpPr>
        <xdr:cNvPr id="38" name="Rectangle 37" descr="10%">
          <a:extLst>
            <a:ext uri="{FF2B5EF4-FFF2-40B4-BE49-F238E27FC236}">
              <a16:creationId xmlns:a16="http://schemas.microsoft.com/office/drawing/2014/main" id="{9818958A-77F4-473A-9A39-EAA965BCA2AE}"/>
            </a:ext>
          </a:extLst>
        </xdr:cNvPr>
        <xdr:cNvSpPr>
          <a:spLocks noChangeArrowheads="1"/>
        </xdr:cNvSpPr>
      </xdr:nvSpPr>
      <xdr:spPr>
        <a:xfrm>
          <a:off x="12368605" y="7259619"/>
          <a:ext cx="1103220" cy="15154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16</xdr:col>
      <xdr:colOff>529590</xdr:colOff>
      <xdr:row>39</xdr:row>
      <xdr:rowOff>23906</xdr:rowOff>
    </xdr:from>
    <xdr:to>
      <xdr:col>18</xdr:col>
      <xdr:colOff>212539</xdr:colOff>
      <xdr:row>39</xdr:row>
      <xdr:rowOff>168686</xdr:rowOff>
    </xdr:to>
    <xdr:sp macro="" textlink="">
      <xdr:nvSpPr>
        <xdr:cNvPr id="39" name="Rectangle 38" descr="10%">
          <a:extLst>
            <a:ext uri="{FF2B5EF4-FFF2-40B4-BE49-F238E27FC236}">
              <a16:creationId xmlns:a16="http://schemas.microsoft.com/office/drawing/2014/main" id="{E0FC5232-97BE-425C-8FDE-095EFA5F57D1}"/>
            </a:ext>
          </a:extLst>
        </xdr:cNvPr>
        <xdr:cNvSpPr>
          <a:spLocks noChangeArrowheads="1"/>
        </xdr:cNvSpPr>
      </xdr:nvSpPr>
      <xdr:spPr>
        <a:xfrm>
          <a:off x="12889230" y="7430546"/>
          <a:ext cx="1145989" cy="14478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17</xdr:col>
      <xdr:colOff>381225</xdr:colOff>
      <xdr:row>41</xdr:row>
      <xdr:rowOff>1</xdr:rowOff>
    </xdr:from>
    <xdr:to>
      <xdr:col>19</xdr:col>
      <xdr:colOff>38</xdr:colOff>
      <xdr:row>42</xdr:row>
      <xdr:rowOff>8219</xdr:rowOff>
    </xdr:to>
    <xdr:sp macro="" textlink="">
      <xdr:nvSpPr>
        <xdr:cNvPr id="40" name="Rectangle 39" descr="10%">
          <a:extLst>
            <a:ext uri="{FF2B5EF4-FFF2-40B4-BE49-F238E27FC236}">
              <a16:creationId xmlns:a16="http://schemas.microsoft.com/office/drawing/2014/main" id="{028C1D09-1F2B-462A-8FD8-7176B23AE89A}"/>
            </a:ext>
          </a:extLst>
        </xdr:cNvPr>
        <xdr:cNvSpPr>
          <a:spLocks noChangeArrowheads="1"/>
        </xdr:cNvSpPr>
      </xdr:nvSpPr>
      <xdr:spPr>
        <a:xfrm>
          <a:off x="13472385" y="7589521"/>
          <a:ext cx="1081853" cy="191098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18</xdr:col>
      <xdr:colOff>469826</xdr:colOff>
      <xdr:row>42</xdr:row>
      <xdr:rowOff>20619</xdr:rowOff>
    </xdr:from>
    <xdr:to>
      <xdr:col>19</xdr:col>
      <xdr:colOff>269390</xdr:colOff>
      <xdr:row>42</xdr:row>
      <xdr:rowOff>174924</xdr:rowOff>
    </xdr:to>
    <xdr:sp macro="" textlink="">
      <xdr:nvSpPr>
        <xdr:cNvPr id="41" name="Rectangle 40" descr="10%">
          <a:extLst>
            <a:ext uri="{FF2B5EF4-FFF2-40B4-BE49-F238E27FC236}">
              <a16:creationId xmlns:a16="http://schemas.microsoft.com/office/drawing/2014/main" id="{07E82DBE-201E-4088-AB03-10BC9D070A08}"/>
            </a:ext>
          </a:extLst>
        </xdr:cNvPr>
        <xdr:cNvSpPr>
          <a:spLocks noChangeArrowheads="1"/>
        </xdr:cNvSpPr>
      </xdr:nvSpPr>
      <xdr:spPr>
        <a:xfrm>
          <a:off x="14292506" y="7793019"/>
          <a:ext cx="531084" cy="154305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19</xdr:col>
      <xdr:colOff>460563</xdr:colOff>
      <xdr:row>45</xdr:row>
      <xdr:rowOff>172906</xdr:rowOff>
    </xdr:from>
    <xdr:to>
      <xdr:col>22</xdr:col>
      <xdr:colOff>16735</xdr:colOff>
      <xdr:row>46</xdr:row>
      <xdr:rowOff>164427</xdr:rowOff>
    </xdr:to>
    <xdr:sp macro="" textlink="">
      <xdr:nvSpPr>
        <xdr:cNvPr id="42" name="Rectangle 41" descr="10%">
          <a:extLst>
            <a:ext uri="{FF2B5EF4-FFF2-40B4-BE49-F238E27FC236}">
              <a16:creationId xmlns:a16="http://schemas.microsoft.com/office/drawing/2014/main" id="{0BF19BD5-5969-4032-876D-D54AFB33FBDF}"/>
            </a:ext>
          </a:extLst>
        </xdr:cNvPr>
        <xdr:cNvSpPr>
          <a:spLocks noChangeArrowheads="1"/>
        </xdr:cNvSpPr>
      </xdr:nvSpPr>
      <xdr:spPr>
        <a:xfrm>
          <a:off x="15014763" y="8493946"/>
          <a:ext cx="1750732" cy="174401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19</xdr:col>
      <xdr:colOff>199988</xdr:colOff>
      <xdr:row>43</xdr:row>
      <xdr:rowOff>10459</xdr:rowOff>
    </xdr:from>
    <xdr:to>
      <xdr:col>19</xdr:col>
      <xdr:colOff>725133</xdr:colOff>
      <xdr:row>43</xdr:row>
      <xdr:rowOff>174289</xdr:rowOff>
    </xdr:to>
    <xdr:sp macro="" textlink="">
      <xdr:nvSpPr>
        <xdr:cNvPr id="43" name="Rectangle 42" descr="10%">
          <a:extLst>
            <a:ext uri="{FF2B5EF4-FFF2-40B4-BE49-F238E27FC236}">
              <a16:creationId xmlns:a16="http://schemas.microsoft.com/office/drawing/2014/main" id="{9550244D-DC6C-4E77-8F54-47F60C867FEE}"/>
            </a:ext>
          </a:extLst>
        </xdr:cNvPr>
        <xdr:cNvSpPr>
          <a:spLocks noChangeArrowheads="1"/>
        </xdr:cNvSpPr>
      </xdr:nvSpPr>
      <xdr:spPr>
        <a:xfrm>
          <a:off x="14754188" y="7965739"/>
          <a:ext cx="525145" cy="16383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19</xdr:col>
      <xdr:colOff>723676</xdr:colOff>
      <xdr:row>44</xdr:row>
      <xdr:rowOff>24279</xdr:rowOff>
    </xdr:from>
    <xdr:to>
      <xdr:col>20</xdr:col>
      <xdr:colOff>527685</xdr:colOff>
      <xdr:row>45</xdr:row>
      <xdr:rowOff>3735</xdr:rowOff>
    </xdr:to>
    <xdr:sp macro="" textlink="">
      <xdr:nvSpPr>
        <xdr:cNvPr id="44" name="Rectangle 43" descr="10%">
          <a:extLst>
            <a:ext uri="{FF2B5EF4-FFF2-40B4-BE49-F238E27FC236}">
              <a16:creationId xmlns:a16="http://schemas.microsoft.com/office/drawing/2014/main" id="{3996FC91-2B09-4E15-9BE5-9555310DFDFD}"/>
            </a:ext>
          </a:extLst>
        </xdr:cNvPr>
        <xdr:cNvSpPr>
          <a:spLocks noChangeArrowheads="1"/>
        </xdr:cNvSpPr>
      </xdr:nvSpPr>
      <xdr:spPr>
        <a:xfrm>
          <a:off x="15277876" y="8162439"/>
          <a:ext cx="535529" cy="16233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17</xdr:col>
      <xdr:colOff>516816</xdr:colOff>
      <xdr:row>44</xdr:row>
      <xdr:rowOff>179070</xdr:rowOff>
    </xdr:from>
    <xdr:to>
      <xdr:col>18</xdr:col>
      <xdr:colOff>311935</xdr:colOff>
      <xdr:row>45</xdr:row>
      <xdr:rowOff>158526</xdr:rowOff>
    </xdr:to>
    <xdr:sp macro="" textlink="">
      <xdr:nvSpPr>
        <xdr:cNvPr id="45" name="Rectangle 44" descr="10%">
          <a:extLst>
            <a:ext uri="{FF2B5EF4-FFF2-40B4-BE49-F238E27FC236}">
              <a16:creationId xmlns:a16="http://schemas.microsoft.com/office/drawing/2014/main" id="{F75F40CE-D179-4FB9-A67D-6C7ECC376C1B}"/>
            </a:ext>
          </a:extLst>
        </xdr:cNvPr>
        <xdr:cNvSpPr>
          <a:spLocks noChangeArrowheads="1"/>
        </xdr:cNvSpPr>
      </xdr:nvSpPr>
      <xdr:spPr>
        <a:xfrm>
          <a:off x="13607976" y="8317230"/>
          <a:ext cx="526639" cy="162336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15</xdr:col>
      <xdr:colOff>5371</xdr:colOff>
      <xdr:row>19</xdr:row>
      <xdr:rowOff>177995</xdr:rowOff>
    </xdr:from>
    <xdr:to>
      <xdr:col>16</xdr:col>
      <xdr:colOff>1785</xdr:colOff>
      <xdr:row>46</xdr:row>
      <xdr:rowOff>161365</xdr:rowOff>
    </xdr:to>
    <xdr:sp macro="" textlink="">
      <xdr:nvSpPr>
        <xdr:cNvPr id="46" name="Text Box 12">
          <a:extLst>
            <a:ext uri="{FF2B5EF4-FFF2-40B4-BE49-F238E27FC236}">
              <a16:creationId xmlns:a16="http://schemas.microsoft.com/office/drawing/2014/main" id="{76173589-EE56-495B-9C31-C9E34964868B}"/>
            </a:ext>
          </a:extLst>
        </xdr:cNvPr>
        <xdr:cNvSpPr txBox="1">
          <a:spLocks noChangeArrowheads="1"/>
        </xdr:cNvSpPr>
      </xdr:nvSpPr>
      <xdr:spPr>
        <a:xfrm>
          <a:off x="11633491" y="3744155"/>
          <a:ext cx="727934" cy="492113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  <xdr:txBody>
        <a:bodyPr vert="vert270" wrap="square" lIns="18288" tIns="0" rIns="0" bIns="0" anchor="ctr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de-DE"/>
        </a:p>
      </xdr:txBody>
    </xdr:sp>
    <xdr:clientData/>
  </xdr:twoCellAnchor>
  <xdr:twoCellAnchor>
    <xdr:from>
      <xdr:col>18</xdr:col>
      <xdr:colOff>405457</xdr:colOff>
      <xdr:row>19</xdr:row>
      <xdr:rowOff>137619</xdr:rowOff>
    </xdr:from>
    <xdr:to>
      <xdr:col>18</xdr:col>
      <xdr:colOff>439270</xdr:colOff>
      <xdr:row>47</xdr:row>
      <xdr:rowOff>0</xdr:rowOff>
    </xdr:to>
    <xdr:sp macro="" textlink="">
      <xdr:nvSpPr>
        <xdr:cNvPr id="47" name="Line 4">
          <a:extLst>
            <a:ext uri="{FF2B5EF4-FFF2-40B4-BE49-F238E27FC236}">
              <a16:creationId xmlns:a16="http://schemas.microsoft.com/office/drawing/2014/main" id="{71D28825-3750-4EC6-BE03-05DDB4F7F475}"/>
            </a:ext>
          </a:extLst>
        </xdr:cNvPr>
        <xdr:cNvSpPr>
          <a:spLocks noChangeShapeType="1"/>
        </xdr:cNvSpPr>
      </xdr:nvSpPr>
      <xdr:spPr>
        <a:xfrm>
          <a:off x="14228137" y="3703779"/>
          <a:ext cx="33813" cy="4983021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>
    <xdr:from>
      <xdr:col>3</xdr:col>
      <xdr:colOff>170329</xdr:colOff>
      <xdr:row>49</xdr:row>
      <xdr:rowOff>8964</xdr:rowOff>
    </xdr:from>
    <xdr:to>
      <xdr:col>3</xdr:col>
      <xdr:colOff>358589</xdr:colOff>
      <xdr:row>49</xdr:row>
      <xdr:rowOff>179294</xdr:rowOff>
    </xdr:to>
    <xdr:sp macro="" textlink="">
      <xdr:nvSpPr>
        <xdr:cNvPr id="48" name="Isosceles Triangle 47">
          <a:extLst>
            <a:ext uri="{FF2B5EF4-FFF2-40B4-BE49-F238E27FC236}">
              <a16:creationId xmlns:a16="http://schemas.microsoft.com/office/drawing/2014/main" id="{2B551809-38CB-4D1B-B487-59168D9D168B}"/>
            </a:ext>
          </a:extLst>
        </xdr:cNvPr>
        <xdr:cNvSpPr/>
      </xdr:nvSpPr>
      <xdr:spPr>
        <a:xfrm>
          <a:off x="3507889" y="10219764"/>
          <a:ext cx="188260" cy="170330"/>
        </a:xfrm>
        <a:prstGeom prst="triangl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8962</xdr:colOff>
      <xdr:row>18</xdr:row>
      <xdr:rowOff>62303</xdr:rowOff>
    </xdr:from>
    <xdr:to>
      <xdr:col>6</xdr:col>
      <xdr:colOff>20665</xdr:colOff>
      <xdr:row>18</xdr:row>
      <xdr:rowOff>167898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4E216-30DF-4684-B4CF-47EEDE2D442D}"/>
            </a:ext>
          </a:extLst>
        </xdr:cNvPr>
        <xdr:cNvSpPr>
          <a:spLocks noChangeAspect="1" noChangeArrowheads="1"/>
        </xdr:cNvSpPr>
      </xdr:nvSpPr>
      <xdr:spPr>
        <a:xfrm flipV="1">
          <a:off x="4542216" y="3456432"/>
          <a:ext cx="621303" cy="105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332154</xdr:colOff>
      <xdr:row>19</xdr:row>
      <xdr:rowOff>77784</xdr:rowOff>
    </xdr:from>
    <xdr:to>
      <xdr:col>6</xdr:col>
      <xdr:colOff>401624</xdr:colOff>
      <xdr:row>19</xdr:row>
      <xdr:rowOff>162239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F352768-30EA-4843-AF0F-5B899D49E341}"/>
            </a:ext>
          </a:extLst>
        </xdr:cNvPr>
        <xdr:cNvSpPr>
          <a:spLocks noChangeAspect="1" noChangeArrowheads="1"/>
        </xdr:cNvSpPr>
      </xdr:nvSpPr>
      <xdr:spPr>
        <a:xfrm flipV="1">
          <a:off x="4867248" y="3638126"/>
          <a:ext cx="679504" cy="8445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5</xdr:col>
      <xdr:colOff>604493</xdr:colOff>
      <xdr:row>20</xdr:row>
      <xdr:rowOff>74182</xdr:rowOff>
    </xdr:from>
    <xdr:to>
      <xdr:col>7</xdr:col>
      <xdr:colOff>95498</xdr:colOff>
      <xdr:row>20</xdr:row>
      <xdr:rowOff>158637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1D9E07F-3057-454E-8414-9C4613A7DB52}"/>
            </a:ext>
          </a:extLst>
        </xdr:cNvPr>
        <xdr:cNvSpPr>
          <a:spLocks noChangeAspect="1" noChangeArrowheads="1"/>
        </xdr:cNvSpPr>
      </xdr:nvSpPr>
      <xdr:spPr>
        <a:xfrm flipV="1">
          <a:off x="5136702" y="3828474"/>
          <a:ext cx="708613" cy="8445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10159</xdr:colOff>
      <xdr:row>21</xdr:row>
      <xdr:rowOff>75999</xdr:rowOff>
    </xdr:from>
    <xdr:to>
      <xdr:col>7</xdr:col>
      <xdr:colOff>603884</xdr:colOff>
      <xdr:row>21</xdr:row>
      <xdr:rowOff>160454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F795F97-F99C-45D1-94EB-C3E534548A0A}"/>
            </a:ext>
          </a:extLst>
        </xdr:cNvPr>
        <xdr:cNvSpPr>
          <a:spLocks noChangeAspect="1" noChangeArrowheads="1"/>
        </xdr:cNvSpPr>
      </xdr:nvSpPr>
      <xdr:spPr>
        <a:xfrm flipV="1">
          <a:off x="5763259" y="4007919"/>
          <a:ext cx="593725" cy="8445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  <xdr:twoCellAnchor>
    <xdr:from>
      <xdr:col>7</xdr:col>
      <xdr:colOff>20730</xdr:colOff>
      <xdr:row>23</xdr:row>
      <xdr:rowOff>73221</xdr:rowOff>
    </xdr:from>
    <xdr:to>
      <xdr:col>7</xdr:col>
      <xdr:colOff>607854</xdr:colOff>
      <xdr:row>23</xdr:row>
      <xdr:rowOff>157676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347CDCAA-3991-4290-B2BF-9C9775F76B27}"/>
            </a:ext>
          </a:extLst>
        </xdr:cNvPr>
        <xdr:cNvSpPr>
          <a:spLocks noChangeAspect="1" noChangeArrowheads="1"/>
        </xdr:cNvSpPr>
      </xdr:nvSpPr>
      <xdr:spPr>
        <a:xfrm flipV="1">
          <a:off x="5773433" y="4365424"/>
          <a:ext cx="587124" cy="8445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26" descr="10%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4829175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1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rrowheads="1"/>
        </xdr:cNvSpPr>
      </xdr:nvSpPr>
      <xdr:spPr bwMode="auto">
        <a:xfrm>
          <a:off x="521017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630555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Anmeldung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97917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65532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35052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4819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5962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70866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7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85153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>
          <a:spLocks noChangeArrowheads="1"/>
        </xdr:cNvSpPr>
      </xdr:nvSpPr>
      <xdr:spPr bwMode="auto">
        <a:xfrm>
          <a:off x="71056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>
          <a:spLocks noChangeArrowheads="1"/>
        </xdr:cNvSpPr>
      </xdr:nvSpPr>
      <xdr:spPr bwMode="auto">
        <a:xfrm>
          <a:off x="82772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>
          <a:spLocks noChangeArrowheads="1"/>
        </xdr:cNvSpPr>
      </xdr:nvSpPr>
      <xdr:spPr bwMode="auto">
        <a:xfrm>
          <a:off x="95345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Abgabe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647950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3552825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21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>
          <a:grpSpLocks/>
        </xdr:cNvGrpSpPr>
      </xdr:nvGrpSpPr>
      <xdr:grpSpPr bwMode="auto">
        <a:xfrm>
          <a:off x="8420100" y="4846320"/>
          <a:ext cx="1929765" cy="182880"/>
          <a:chOff x="691" y="481"/>
          <a:chExt cx="144" cy="27"/>
        </a:xfrm>
      </xdr:grpSpPr>
      <xdr:sp macro="" textlink="">
        <xdr:nvSpPr>
          <xdr:cNvPr id="18" name="Rectangle 16" descr="10%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7" descr="10%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657475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1.3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447800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Persönliche Daten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ChangeArrowheads="1"/>
        </xdr:cNvSpPr>
      </xdr:nvSpPr>
      <xdr:spPr bwMode="auto">
        <a:xfrm>
          <a:off x="4686300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Vorläufiger Titel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der Arbeit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1238250</xdr:colOff>
      <xdr:row>24</xdr:row>
      <xdr:rowOff>19050</xdr:rowOff>
    </xdr:to>
    <xdr:sp macro="" textlink="">
      <xdr:nvSpPr>
        <xdr:cNvPr id="27" name="AutoShape 29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62025" cy="685800"/>
        </a:xfrm>
        <a:prstGeom prst="wedgeRoundRectCallout">
          <a:avLst>
            <a:gd name="adj1" fmla="val -92574"/>
            <a:gd name="adj2" fmla="val -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Nr. des Teilprojektes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incl. Kolloquium)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1400175</xdr:colOff>
      <xdr:row>17</xdr:row>
      <xdr:rowOff>133350</xdr:rowOff>
    </xdr:to>
    <xdr:sp macro="" textlink="">
      <xdr:nvSpPr>
        <xdr:cNvPr id="28" name="AutoShape 3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876300" cy="295275"/>
        </a:xfrm>
        <a:prstGeom prst="wedgeRoundRectCallout">
          <a:avLst>
            <a:gd name="adj1" fmla="val -66306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Bezeichnung des Teilprojektes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31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3238500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Kalenderwoche des Jahres = zeitl. Lage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3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647825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Laufende Woche der Arbeit seit Start =&gt; Dauer</a:t>
          </a:r>
          <a:endParaRPr lang="de-DE"/>
        </a:p>
      </xdr:txBody>
    </xdr:sp>
    <xdr:clientData/>
  </xdr:twoCellAnchor>
  <xdr:twoCellAnchor>
    <xdr:from>
      <xdr:col>13</xdr:col>
      <xdr:colOff>152400</xdr:colOff>
      <xdr:row>19</xdr:row>
      <xdr:rowOff>200025</xdr:rowOff>
    </xdr:from>
    <xdr:to>
      <xdr:col>15</xdr:col>
      <xdr:colOff>142875</xdr:colOff>
      <xdr:row>21</xdr:row>
      <xdr:rowOff>76200</xdr:rowOff>
    </xdr:to>
    <xdr:sp macro="" textlink="">
      <xdr:nvSpPr>
        <xdr:cNvPr id="31" name="AutoShape 33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rrowheads="1"/>
        </xdr:cNvSpPr>
      </xdr:nvSpPr>
      <xdr:spPr bwMode="auto">
        <a:xfrm>
          <a:off x="8877300" y="3971925"/>
          <a:ext cx="1209675" cy="371475"/>
        </a:xfrm>
        <a:prstGeom prst="wedgeRoundRectCallout">
          <a:avLst>
            <a:gd name="adj1" fmla="val -87796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planbare Ausfallzeiten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(selbst, Partner, Prüfer)</a:t>
          </a:r>
          <a:endParaRPr lang="de-DE"/>
        </a:p>
      </xdr:txBody>
    </xdr:sp>
    <xdr:clientData/>
  </xdr:twoCellAnchor>
  <xdr:twoCellAnchor>
    <xdr:from>
      <xdr:col>8</xdr:col>
      <xdr:colOff>590550</xdr:colOff>
      <xdr:row>36</xdr:row>
      <xdr:rowOff>76200</xdr:rowOff>
    </xdr:from>
    <xdr:to>
      <xdr:col>12</xdr:col>
      <xdr:colOff>133350</xdr:colOff>
      <xdr:row>39</xdr:row>
      <xdr:rowOff>9525</xdr:rowOff>
    </xdr:to>
    <xdr:sp macro="" textlink="">
      <xdr:nvSpPr>
        <xdr:cNvPr id="32" name="AutoShape 34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ChangeArrowheads="1"/>
        </xdr:cNvSpPr>
      </xdr:nvSpPr>
      <xdr:spPr bwMode="auto">
        <a:xfrm>
          <a:off x="6267450" y="7743825"/>
          <a:ext cx="1981200" cy="333375"/>
        </a:xfrm>
        <a:prstGeom prst="wedgeRoundRectCallout">
          <a:avLst>
            <a:gd name="adj1" fmla="val -35097"/>
            <a:gd name="adj2" fmla="val -2557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Anmeldetermin = gepl. Abgabetermin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abzgl. x Monate  (für BT/DA/MT)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66675</xdr:rowOff>
    </xdr:from>
    <xdr:to>
      <xdr:col>14</xdr:col>
      <xdr:colOff>85725</xdr:colOff>
      <xdr:row>39</xdr:row>
      <xdr:rowOff>9525</xdr:rowOff>
    </xdr:to>
    <xdr:sp macro="" textlink="">
      <xdr:nvSpPr>
        <xdr:cNvPr id="33" name="AutoShape 3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ChangeArrowheads="1"/>
        </xdr:cNvSpPr>
      </xdr:nvSpPr>
      <xdr:spPr bwMode="auto">
        <a:xfrm>
          <a:off x="8648700" y="7734300"/>
          <a:ext cx="771525" cy="342900"/>
        </a:xfrm>
        <a:prstGeom prst="wedgeRoundRectCallout">
          <a:avLst>
            <a:gd name="adj1" fmla="val 69755"/>
            <a:gd name="adj2" fmla="val -19444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geplanter Abgabetermin </a:t>
          </a:r>
          <a:endParaRPr lang="de-DE"/>
        </a:p>
      </xdr:txBody>
    </xdr:sp>
    <xdr:clientData/>
  </xdr:twoCellAnchor>
  <xdr:twoCellAnchor>
    <xdr:from>
      <xdr:col>4</xdr:col>
      <xdr:colOff>76200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6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rrowheads="1"/>
        </xdr:cNvSpPr>
      </xdr:nvSpPr>
      <xdr:spPr bwMode="auto">
        <a:xfrm>
          <a:off x="3314700" y="3971925"/>
          <a:ext cx="1676400" cy="466725"/>
        </a:xfrm>
        <a:prstGeom prst="wedgeRoundRectCallout">
          <a:avLst>
            <a:gd name="adj1" fmla="val 47157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Teilprojekt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Balkenlänge = geschätzte Dauer; </a:t>
          </a: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3</xdr:col>
      <xdr:colOff>228600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2857500" y="3028950"/>
          <a:ext cx="1571625" cy="495300"/>
        </a:xfrm>
        <a:prstGeom prst="wedgeRoundRectCallout">
          <a:avLst>
            <a:gd name="adj1" fmla="val -37273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subjektiver Abarbeitungzustand des TP bei korrelierender Besprechung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8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rrowheads="1"/>
        </xdr:cNvSpPr>
      </xdr:nvSpPr>
      <xdr:spPr bwMode="auto">
        <a:xfrm>
          <a:off x="103155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76200</xdr:rowOff>
    </xdr:from>
    <xdr:to>
      <xdr:col>8</xdr:col>
      <xdr:colOff>104775</xdr:colOff>
      <xdr:row>39</xdr:row>
      <xdr:rowOff>19050</xdr:rowOff>
    </xdr:to>
    <xdr:sp macro="" textlink="">
      <xdr:nvSpPr>
        <xdr:cNvPr id="37" name="AutoShape 39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rrowheads="1"/>
        </xdr:cNvSpPr>
      </xdr:nvSpPr>
      <xdr:spPr bwMode="auto">
        <a:xfrm>
          <a:off x="4438650" y="7743825"/>
          <a:ext cx="1343025" cy="342900"/>
        </a:xfrm>
        <a:prstGeom prst="wedgeRoundRectCallout">
          <a:avLst>
            <a:gd name="adj1" fmla="val 69148"/>
            <a:gd name="adj2" fmla="val -1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gepl. Besprechungstermin mit Erstprüfer </a:t>
          </a:r>
          <a:endParaRPr lang="de-DE"/>
        </a:p>
      </xdr:txBody>
    </xdr:sp>
    <xdr:clientData/>
  </xdr:twoCellAnchor>
  <xdr:twoCellAnchor>
    <xdr:from>
      <xdr:col>2</xdr:col>
      <xdr:colOff>85725</xdr:colOff>
      <xdr:row>36</xdr:row>
      <xdr:rowOff>66675</xdr:rowOff>
    </xdr:from>
    <xdr:to>
      <xdr:col>4</xdr:col>
      <xdr:colOff>419100</xdr:colOff>
      <xdr:row>39</xdr:row>
      <xdr:rowOff>9525</xdr:rowOff>
    </xdr:to>
    <xdr:sp macro="" textlink="">
      <xdr:nvSpPr>
        <xdr:cNvPr id="38" name="AutoShape 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/>
        </xdr:cNvSpPr>
      </xdr:nvSpPr>
      <xdr:spPr bwMode="auto">
        <a:xfrm>
          <a:off x="2114550" y="7734300"/>
          <a:ext cx="1543050" cy="342900"/>
        </a:xfrm>
        <a:prstGeom prst="wedgeRoundRectCallout">
          <a:avLst>
            <a:gd name="adj1" fmla="val -91111"/>
            <a:gd name="adj2" fmla="val -61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Planungsstand des Projektplans (Version, Datum)</a:t>
          </a:r>
          <a:endParaRPr lang="de-DE"/>
        </a:p>
      </xdr:txBody>
    </xdr:sp>
    <xdr:clientData/>
  </xdr:twoCellAnchor>
  <xdr:twoCellAnchor>
    <xdr:from>
      <xdr:col>3</xdr:col>
      <xdr:colOff>171450</xdr:colOff>
      <xdr:row>24</xdr:row>
      <xdr:rowOff>152400</xdr:rowOff>
    </xdr:from>
    <xdr:to>
      <xdr:col>5</xdr:col>
      <xdr:colOff>533400</xdr:colOff>
      <xdr:row>26</xdr:row>
      <xdr:rowOff>190500</xdr:rowOff>
    </xdr:to>
    <xdr:sp macro="" textlink="">
      <xdr:nvSpPr>
        <xdr:cNvPr id="39" name="AutoShape 41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rrowheads="1"/>
        </xdr:cNvSpPr>
      </xdr:nvSpPr>
      <xdr:spPr bwMode="auto">
        <a:xfrm>
          <a:off x="2800350" y="5162550"/>
          <a:ext cx="1581150" cy="533400"/>
        </a:xfrm>
        <a:prstGeom prst="wedgeRoundRectCallout">
          <a:avLst>
            <a:gd name="adj1" fmla="val -74097"/>
            <a:gd name="adj2" fmla="val -1482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spontan + intuitiv </a:t>
          </a: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geschätzte Dauer des TP;</a:t>
          </a:r>
        </a:p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0</xdr:col>
      <xdr:colOff>409575</xdr:colOff>
      <xdr:row>0</xdr:row>
      <xdr:rowOff>66675</xdr:rowOff>
    </xdr:from>
    <xdr:to>
      <xdr:col>15</xdr:col>
      <xdr:colOff>238125</xdr:colOff>
      <xdr:row>1</xdr:row>
      <xdr:rowOff>333375</xdr:rowOff>
    </xdr:to>
    <xdr:sp macro="" textlink="">
      <xdr:nvSpPr>
        <xdr:cNvPr id="40" name="AutoShape 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rrowheads="1"/>
        </xdr:cNvSpPr>
      </xdr:nvSpPr>
      <xdr:spPr bwMode="auto">
        <a:xfrm>
          <a:off x="409575" y="66675"/>
          <a:ext cx="9772650" cy="400050"/>
        </a:xfrm>
        <a:prstGeom prst="wedgeRoundRectCallout">
          <a:avLst>
            <a:gd name="adj1" fmla="val -10037"/>
            <a:gd name="adj2" fmla="val 3095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Projektplan-Muster für eine Projektarbeit (PA) / Bachelor Thesis (BT) / Diplomarbeit (DA) / Master Thesis (MT)</a:t>
          </a:r>
          <a:endParaRPr lang="de-DE"/>
        </a:p>
      </xdr:txBody>
    </xdr:sp>
    <xdr:clientData/>
  </xdr:twoCellAnchor>
  <xdr:twoCellAnchor>
    <xdr:from>
      <xdr:col>13</xdr:col>
      <xdr:colOff>361950</xdr:colOff>
      <xdr:row>6</xdr:row>
      <xdr:rowOff>104775</xdr:rowOff>
    </xdr:from>
    <xdr:to>
      <xdr:col>15</xdr:col>
      <xdr:colOff>495300</xdr:colOff>
      <xdr:row>8</xdr:row>
      <xdr:rowOff>161925</xdr:rowOff>
    </xdr:to>
    <xdr:sp macro="" textlink="">
      <xdr:nvSpPr>
        <xdr:cNvPr id="41" name="Text Box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 txBox="1">
          <a:spLocks noChangeArrowheads="1"/>
        </xdr:cNvSpPr>
      </xdr:nvSpPr>
      <xdr:spPr bwMode="auto">
        <a:xfrm>
          <a:off x="9086850" y="1152525"/>
          <a:ext cx="13525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Firmen-Betreuer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PJ-Partner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Erstprüfer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/>
        </xdr:cNvSpPr>
      </xdr:nvSpPr>
      <xdr:spPr bwMode="auto">
        <a:xfrm>
          <a:off x="7877175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Empfänger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des PJ-Plans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rrowheads="1"/>
        </xdr:cNvSpPr>
      </xdr:nvSpPr>
      <xdr:spPr bwMode="auto">
        <a:xfrm>
          <a:off x="5343525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wegen Auszeit unterbrechen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rrowheads="1"/>
        </xdr:cNvSpPr>
      </xdr:nvSpPr>
      <xdr:spPr bwMode="auto">
        <a:xfrm>
          <a:off x="8562975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trotz Feiertage fortführen</a:t>
          </a:r>
          <a:endParaRPr lang="de-DE"/>
        </a:p>
      </xdr:txBody>
    </xdr:sp>
    <xdr:clientData/>
  </xdr:twoCellAnchor>
  <xdr:twoCellAnchor>
    <xdr:from>
      <xdr:col>9</xdr:col>
      <xdr:colOff>342900</xdr:colOff>
      <xdr:row>5</xdr:row>
      <xdr:rowOff>28575</xdr:rowOff>
    </xdr:from>
    <xdr:to>
      <xdr:col>9</xdr:col>
      <xdr:colOff>552450</xdr:colOff>
      <xdr:row>6</xdr:row>
      <xdr:rowOff>104775</xdr:rowOff>
    </xdr:to>
    <xdr:sp macro="" textlink="">
      <xdr:nvSpPr>
        <xdr:cNvPr id="45" name="AutoShape 4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6" name="AutoShape 49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485775</xdr:colOff>
      <xdr:row>4</xdr:row>
      <xdr:rowOff>76200</xdr:rowOff>
    </xdr:from>
    <xdr:to>
      <xdr:col>14</xdr:col>
      <xdr:colOff>85725</xdr:colOff>
      <xdr:row>6</xdr:row>
      <xdr:rowOff>19050</xdr:rowOff>
    </xdr:to>
    <xdr:sp macro="" textlink="">
      <xdr:nvSpPr>
        <xdr:cNvPr id="47" name="AutoShape 5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48" name="AutoShape 51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2</xdr:col>
      <xdr:colOff>85725</xdr:colOff>
      <xdr:row>8</xdr:row>
      <xdr:rowOff>104775</xdr:rowOff>
    </xdr:from>
    <xdr:to>
      <xdr:col>2</xdr:col>
      <xdr:colOff>295275</xdr:colOff>
      <xdr:row>9</xdr:row>
      <xdr:rowOff>123825</xdr:rowOff>
    </xdr:to>
    <xdr:sp macro="" textlink="">
      <xdr:nvSpPr>
        <xdr:cNvPr id="49" name="AutoShape 5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1285875</xdr:colOff>
      <xdr:row>11</xdr:row>
      <xdr:rowOff>9525</xdr:rowOff>
    </xdr:from>
    <xdr:to>
      <xdr:col>1</xdr:col>
      <xdr:colOff>1495425</xdr:colOff>
      <xdr:row>12</xdr:row>
      <xdr:rowOff>85725</xdr:rowOff>
    </xdr:to>
    <xdr:sp macro="" textlink="">
      <xdr:nvSpPr>
        <xdr:cNvPr id="50" name="AutoShape 53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rrowheads="1"/>
        </xdr:cNvSpPr>
      </xdr:nvSpPr>
      <xdr:spPr bwMode="auto">
        <a:xfrm>
          <a:off x="1724025" y="1952625"/>
          <a:ext cx="209550" cy="209550"/>
        </a:xfrm>
        <a:prstGeom prst="wedgeEllipseCallout">
          <a:avLst>
            <a:gd name="adj1" fmla="val 159093"/>
            <a:gd name="adj2" fmla="val 81819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523875</xdr:colOff>
      <xdr:row>11</xdr:row>
      <xdr:rowOff>95250</xdr:rowOff>
    </xdr:from>
    <xdr:to>
      <xdr:col>12</xdr:col>
      <xdr:colOff>123825</xdr:colOff>
      <xdr:row>12</xdr:row>
      <xdr:rowOff>171450</xdr:rowOff>
    </xdr:to>
    <xdr:sp macro="" textlink="">
      <xdr:nvSpPr>
        <xdr:cNvPr id="51" name="AutoShape 54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rrowheads="1"/>
        </xdr:cNvSpPr>
      </xdr:nvSpPr>
      <xdr:spPr bwMode="auto">
        <a:xfrm>
          <a:off x="8029575" y="2038350"/>
          <a:ext cx="209550" cy="209550"/>
        </a:xfrm>
        <a:prstGeom prst="wedgeEllipseCallout">
          <a:avLst>
            <a:gd name="adj1" fmla="val 127273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504825</xdr:colOff>
      <xdr:row>12</xdr:row>
      <xdr:rowOff>9525</xdr:rowOff>
    </xdr:from>
    <xdr:to>
      <xdr:col>6</xdr:col>
      <xdr:colOff>104775</xdr:colOff>
      <xdr:row>13</xdr:row>
      <xdr:rowOff>9525</xdr:rowOff>
    </xdr:to>
    <xdr:sp macro="" textlink="">
      <xdr:nvSpPr>
        <xdr:cNvPr id="52" name="AutoShape 55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13</xdr:col>
      <xdr:colOff>600075</xdr:colOff>
      <xdr:row>11</xdr:row>
      <xdr:rowOff>85725</xdr:rowOff>
    </xdr:from>
    <xdr:to>
      <xdr:col>14</xdr:col>
      <xdr:colOff>200025</xdr:colOff>
      <xdr:row>12</xdr:row>
      <xdr:rowOff>161925</xdr:rowOff>
    </xdr:to>
    <xdr:sp macro="" textlink="">
      <xdr:nvSpPr>
        <xdr:cNvPr id="53" name="AutoShape 56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rrowheads="1"/>
        </xdr:cNvSpPr>
      </xdr:nvSpPr>
      <xdr:spPr bwMode="auto">
        <a:xfrm>
          <a:off x="9324975" y="2028825"/>
          <a:ext cx="209550" cy="209550"/>
        </a:xfrm>
        <a:prstGeom prst="wedgeEllipseCallout">
          <a:avLst>
            <a:gd name="adj1" fmla="val 159093"/>
            <a:gd name="adj2" fmla="val 154546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76200</xdr:rowOff>
    </xdr:from>
    <xdr:to>
      <xdr:col>9</xdr:col>
      <xdr:colOff>142875</xdr:colOff>
      <xdr:row>12</xdr:row>
      <xdr:rowOff>152400</xdr:rowOff>
    </xdr:to>
    <xdr:sp macro="" textlink="">
      <xdr:nvSpPr>
        <xdr:cNvPr id="54" name="AutoShape 57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rrowheads="1"/>
        </xdr:cNvSpPr>
      </xdr:nvSpPr>
      <xdr:spPr bwMode="auto">
        <a:xfrm>
          <a:off x="6219825" y="2019300"/>
          <a:ext cx="209550" cy="209550"/>
        </a:xfrm>
        <a:prstGeom prst="wedgeEllipseCallout">
          <a:avLst>
            <a:gd name="adj1" fmla="val 1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152400</xdr:colOff>
      <xdr:row>32</xdr:row>
      <xdr:rowOff>209550</xdr:rowOff>
    </xdr:from>
    <xdr:to>
      <xdr:col>4</xdr:col>
      <xdr:colOff>428625</xdr:colOff>
      <xdr:row>33</xdr:row>
      <xdr:rowOff>171450</xdr:rowOff>
    </xdr:to>
    <xdr:sp macro="" textlink="">
      <xdr:nvSpPr>
        <xdr:cNvPr id="55" name="AutoShape 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29310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6" name="AutoShape 59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1" descr="10%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4972050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53530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4484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Enrolement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99345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66960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6480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4962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6105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2294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86582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72485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842010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967740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790825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695700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8976360" y="4846320"/>
          <a:ext cx="1929765" cy="182880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00350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7619</xdr:colOff>
      <xdr:row>5</xdr:row>
      <xdr:rowOff>175260</xdr:rowOff>
    </xdr:from>
    <xdr:to>
      <xdr:col>2</xdr:col>
      <xdr:colOff>0</xdr:colOff>
      <xdr:row>8</xdr:row>
      <xdr:rowOff>190500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800099" y="1089660"/>
          <a:ext cx="1341121" cy="61722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Ranjeetsing Tawar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Matr.-Nr.   7026116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1. Sem   MBIDA</a:t>
          </a:r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29.02.2025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>
          <a:spLocks noChangeArrowheads="1"/>
        </xdr:cNvSpPr>
      </xdr:nvSpPr>
      <xdr:spPr bwMode="auto">
        <a:xfrm>
          <a:off x="4829175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Preliminary title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of thesis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1247775</xdr:colOff>
      <xdr:row>23</xdr:row>
      <xdr:rowOff>76200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71550" cy="495300"/>
        </a:xfrm>
        <a:prstGeom prst="wedgeRoundRectCallout">
          <a:avLst>
            <a:gd name="adj1" fmla="val -92157"/>
            <a:gd name="adj2" fmla="val -23461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number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SPs incl. Colloquium)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1228725</xdr:colOff>
      <xdr:row>17</xdr:row>
      <xdr:rowOff>133350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704850" cy="295275"/>
        </a:xfrm>
        <a:prstGeom prst="wedgeRoundRectCallout">
          <a:avLst>
            <a:gd name="adj1" fmla="val -70269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title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3381375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 of year</a:t>
          </a:r>
          <a:endParaRPr lang="de-DE"/>
        </a:p>
      </xdr:txBody>
    </xdr:sp>
    <xdr:clientData/>
  </xdr:twoCellAnchor>
  <xdr:twoCellAnchor>
    <xdr:from>
      <xdr:col>12</xdr:col>
      <xdr:colOff>381000</xdr:colOff>
      <xdr:row>19</xdr:row>
      <xdr:rowOff>200025</xdr:rowOff>
    </xdr:from>
    <xdr:to>
      <xdr:col>16</xdr:col>
      <xdr:colOff>38100</xdr:colOff>
      <xdr:row>21</xdr:row>
      <xdr:rowOff>76200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639175" y="3971925"/>
          <a:ext cx="2095500" cy="371475"/>
        </a:xfrm>
        <a:prstGeom prst="wedgeRoundRectCallout">
          <a:avLst>
            <a:gd name="adj1" fmla="val -53634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schedulable time outs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(causes: yourself, partners, examiner, ..)</a:t>
          </a:r>
          <a:endParaRPr lang="de-DE"/>
        </a:p>
      </xdr:txBody>
    </xdr:sp>
    <xdr:clientData/>
  </xdr:twoCellAnchor>
  <xdr:twoCellAnchor>
    <xdr:from>
      <xdr:col>9</xdr:col>
      <xdr:colOff>257175</xdr:colOff>
      <xdr:row>36</xdr:row>
      <xdr:rowOff>9525</xdr:rowOff>
    </xdr:from>
    <xdr:to>
      <xdr:col>12</xdr:col>
      <xdr:colOff>257175</xdr:colOff>
      <xdr:row>38</xdr:row>
      <xdr:rowOff>95250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6686550" y="7677150"/>
          <a:ext cx="1828800" cy="352425"/>
        </a:xfrm>
        <a:prstGeom prst="wedgeRoundRectCallout">
          <a:avLst>
            <a:gd name="adj1" fmla="val -48958"/>
            <a:gd name="adj2" fmla="val -17432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Date of enrolement = scheduled date of submission minus x months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28575</xdr:rowOff>
    </xdr:from>
    <xdr:to>
      <xdr:col>14</xdr:col>
      <xdr:colOff>342900</xdr:colOff>
      <xdr:row>38</xdr:row>
      <xdr:rowOff>104775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91575" y="7696200"/>
          <a:ext cx="1028700" cy="342900"/>
        </a:xfrm>
        <a:prstGeom prst="wedgeRoundRectCallout">
          <a:avLst>
            <a:gd name="adj1" fmla="val 61111"/>
            <a:gd name="adj2" fmla="val -18055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date of submission</a:t>
          </a:r>
          <a:endParaRPr lang="de-DE"/>
        </a:p>
      </xdr:txBody>
    </xdr:sp>
    <xdr:clientData/>
  </xdr:twoCellAnchor>
  <xdr:twoCellAnchor>
    <xdr:from>
      <xdr:col>3</xdr:col>
      <xdr:colOff>333375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105150" y="3971925"/>
          <a:ext cx="2028825" cy="466725"/>
        </a:xfrm>
        <a:prstGeom prst="wedgeRoundRectCallout">
          <a:avLst>
            <a:gd name="adj1" fmla="val 47653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Length of bar = estimated duration; smallest unit = 0.5 week</a:t>
          </a:r>
          <a:endParaRPr lang="de-DE"/>
        </a:p>
      </xdr:txBody>
    </xdr:sp>
    <xdr:clientData/>
  </xdr:twoCellAnchor>
  <xdr:twoCellAnchor>
    <xdr:from>
      <xdr:col>3</xdr:col>
      <xdr:colOff>76200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2847975" y="3028950"/>
          <a:ext cx="1724025" cy="495300"/>
        </a:xfrm>
        <a:prstGeom prst="wedgeRoundRectCallout">
          <a:avLst>
            <a:gd name="adj1" fmla="val -29560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Actual state of SP's completion at time of corresponding meeting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(subjective estimation)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04584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38100</xdr:rowOff>
    </xdr:from>
    <xdr:to>
      <xdr:col>8</xdr:col>
      <xdr:colOff>104775</xdr:colOff>
      <xdr:row>38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4581525" y="7705725"/>
          <a:ext cx="1343025" cy="342900"/>
        </a:xfrm>
        <a:prstGeom prst="wedgeRoundRectCallout">
          <a:avLst>
            <a:gd name="adj1" fmla="val 69148"/>
            <a:gd name="adj2" fmla="val -136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meeting with first examiner</a:t>
          </a:r>
          <a:endParaRPr lang="de-DE"/>
        </a:p>
      </xdr:txBody>
    </xdr:sp>
    <xdr:clientData/>
  </xdr:twoCellAnchor>
  <xdr:twoCellAnchor>
    <xdr:from>
      <xdr:col>2</xdr:col>
      <xdr:colOff>114300</xdr:colOff>
      <xdr:row>36</xdr:row>
      <xdr:rowOff>19050</xdr:rowOff>
    </xdr:from>
    <xdr:to>
      <xdr:col>4</xdr:col>
      <xdr:colOff>447675</xdr:colOff>
      <xdr:row>38</xdr:row>
      <xdr:rowOff>95250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2286000" y="7686675"/>
          <a:ext cx="1543050" cy="342900"/>
        </a:xfrm>
        <a:prstGeom prst="wedgeRoundRectCallout">
          <a:avLst>
            <a:gd name="adj1" fmla="val -93208"/>
            <a:gd name="adj2" fmla="val -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of (version / date)</a:t>
          </a:r>
          <a:endParaRPr lang="de-DE"/>
        </a:p>
      </xdr:txBody>
    </xdr:sp>
    <xdr:clientData/>
  </xdr:twoCellAnchor>
  <xdr:twoCellAnchor>
    <xdr:from>
      <xdr:col>3</xdr:col>
      <xdr:colOff>247650</xdr:colOff>
      <xdr:row>24</xdr:row>
      <xdr:rowOff>161925</xdr:rowOff>
    </xdr:from>
    <xdr:to>
      <xdr:col>6</xdr:col>
      <xdr:colOff>514350</xdr:colOff>
      <xdr:row>26</xdr:row>
      <xdr:rowOff>190500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3019425" y="5172075"/>
          <a:ext cx="2095500" cy="523875"/>
        </a:xfrm>
        <a:prstGeom prst="wedgeRoundRectCallout">
          <a:avLst>
            <a:gd name="adj1" fmla="val -71819"/>
            <a:gd name="adj2" fmla="val -15181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Duration of SP estimated in the beginning 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(spontaneously and  intuitivly)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smallest unit = 0,5 week</a:t>
          </a:r>
          <a:endParaRPr lang="de-DE"/>
        </a:p>
      </xdr:txBody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Template for Project Plan of Master's Thesis</a:t>
          </a:r>
          <a:endParaRPr lang="de-DE"/>
        </a:p>
      </xdr:txBody>
    </xdr:sp>
    <xdr:clientData/>
  </xdr:twoCellAnchor>
  <xdr:twoCellAnchor>
    <xdr:from>
      <xdr:col>13</xdr:col>
      <xdr:colOff>85725</xdr:colOff>
      <xdr:row>6</xdr:row>
      <xdr:rowOff>104775</xdr:rowOff>
    </xdr:from>
    <xdr:to>
      <xdr:col>16</xdr:col>
      <xdr:colOff>180975</xdr:colOff>
      <xdr:row>8</xdr:row>
      <xdr:rowOff>161925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8953500" y="1152525"/>
          <a:ext cx="19240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Contact person in company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Project 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First examiner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020050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Receivers of  this project plan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486400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Scheduled interruption of work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8705850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to continue work despite of holiday</a:t>
          </a:r>
          <a:endParaRPr lang="de-DE"/>
        </a:p>
      </xdr:txBody>
    </xdr:sp>
    <xdr:clientData/>
  </xdr:twoCellAnchor>
  <xdr:twoCellAnchor>
    <xdr:from>
      <xdr:col>15</xdr:col>
      <xdr:colOff>400050</xdr:colOff>
      <xdr:row>29</xdr:row>
      <xdr:rowOff>38100</xdr:rowOff>
    </xdr:from>
    <xdr:to>
      <xdr:col>15</xdr:col>
      <xdr:colOff>533400</xdr:colOff>
      <xdr:row>29</xdr:row>
      <xdr:rowOff>200025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>
          <a:spLocks noChangeArrowheads="1"/>
        </xdr:cNvSpPr>
      </xdr:nvSpPr>
      <xdr:spPr bwMode="auto">
        <a:xfrm>
          <a:off x="10487025" y="6286500"/>
          <a:ext cx="133350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38100</xdr:colOff>
      <xdr:row>28</xdr:row>
      <xdr:rowOff>0</xdr:rowOff>
    </xdr:from>
    <xdr:to>
      <xdr:col>14</xdr:col>
      <xdr:colOff>257175</xdr:colOff>
      <xdr:row>28</xdr:row>
      <xdr:rowOff>190500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>
          <a:spLocks noChangeArrowheads="1"/>
        </xdr:cNvSpPr>
      </xdr:nvSpPr>
      <xdr:spPr bwMode="auto">
        <a:xfrm>
          <a:off x="8905875" y="6000750"/>
          <a:ext cx="828675" cy="190500"/>
        </a:xfrm>
        <a:prstGeom prst="wedgeRoundRectCallout">
          <a:avLst>
            <a:gd name="adj1" fmla="val 150000"/>
            <a:gd name="adj2" fmla="val 15000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Colloquium</a:t>
          </a:r>
          <a:endParaRPr lang="de-DE"/>
        </a:p>
      </xdr:txBody>
    </xdr:sp>
    <xdr:clientData/>
  </xdr:twoCellAnchor>
  <xdr:twoCellAnchor>
    <xdr:from>
      <xdr:col>9</xdr:col>
      <xdr:colOff>200025</xdr:colOff>
      <xdr:row>5</xdr:row>
      <xdr:rowOff>28575</xdr:rowOff>
    </xdr:from>
    <xdr:to>
      <xdr:col>9</xdr:col>
      <xdr:colOff>409575</xdr:colOff>
      <xdr:row>6</xdr:row>
      <xdr:rowOff>104775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13</xdr:col>
      <xdr:colOff>342900</xdr:colOff>
      <xdr:row>4</xdr:row>
      <xdr:rowOff>76200</xdr:rowOff>
    </xdr:from>
    <xdr:to>
      <xdr:col>13</xdr:col>
      <xdr:colOff>552450</xdr:colOff>
      <xdr:row>6</xdr:row>
      <xdr:rowOff>19050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1</xdr:col>
      <xdr:colOff>1676400</xdr:colOff>
      <xdr:row>8</xdr:row>
      <xdr:rowOff>104775</xdr:rowOff>
    </xdr:from>
    <xdr:to>
      <xdr:col>2</xdr:col>
      <xdr:colOff>152400</xdr:colOff>
      <xdr:row>9</xdr:row>
      <xdr:rowOff>123825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1400175</xdr:colOff>
      <xdr:row>11</xdr:row>
      <xdr:rowOff>0</xdr:rowOff>
    </xdr:from>
    <xdr:to>
      <xdr:col>1</xdr:col>
      <xdr:colOff>1609725</xdr:colOff>
      <xdr:row>12</xdr:row>
      <xdr:rowOff>76200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>
          <a:spLocks noChangeArrowheads="1"/>
        </xdr:cNvSpPr>
      </xdr:nvSpPr>
      <xdr:spPr bwMode="auto">
        <a:xfrm>
          <a:off x="1838325" y="1943100"/>
          <a:ext cx="209550" cy="209550"/>
        </a:xfrm>
        <a:prstGeom prst="wedgeEllipseCallout">
          <a:avLst>
            <a:gd name="adj1" fmla="val 131819"/>
            <a:gd name="adj2" fmla="val 7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561975</xdr:colOff>
      <xdr:row>11</xdr:row>
      <xdr:rowOff>85725</xdr:rowOff>
    </xdr:from>
    <xdr:to>
      <xdr:col>12</xdr:col>
      <xdr:colOff>161925</xdr:colOff>
      <xdr:row>12</xdr:row>
      <xdr:rowOff>161925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Arrowheads="1"/>
        </xdr:cNvSpPr>
      </xdr:nvSpPr>
      <xdr:spPr bwMode="auto">
        <a:xfrm>
          <a:off x="8210550" y="2028825"/>
          <a:ext cx="209550" cy="209550"/>
        </a:xfrm>
        <a:prstGeom prst="wedgeEllipseCallout">
          <a:avLst>
            <a:gd name="adj1" fmla="val 95454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361950</xdr:colOff>
      <xdr:row>12</xdr:row>
      <xdr:rowOff>9525</xdr:rowOff>
    </xdr:from>
    <xdr:to>
      <xdr:col>5</xdr:col>
      <xdr:colOff>571500</xdr:colOff>
      <xdr:row>13</xdr:row>
      <xdr:rowOff>9525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14</xdr:col>
      <xdr:colOff>200025</xdr:colOff>
      <xdr:row>11</xdr:row>
      <xdr:rowOff>66675</xdr:rowOff>
    </xdr:from>
    <xdr:to>
      <xdr:col>14</xdr:col>
      <xdr:colOff>409575</xdr:colOff>
      <xdr:row>12</xdr:row>
      <xdr:rowOff>142875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rrowheads="1"/>
        </xdr:cNvSpPr>
      </xdr:nvSpPr>
      <xdr:spPr bwMode="auto">
        <a:xfrm>
          <a:off x="9677400" y="2009775"/>
          <a:ext cx="209550" cy="209550"/>
        </a:xfrm>
        <a:prstGeom prst="wedgeEllipseCallout">
          <a:avLst>
            <a:gd name="adj1" fmla="val 72727"/>
            <a:gd name="adj2" fmla="val 150000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66675</xdr:rowOff>
    </xdr:from>
    <xdr:to>
      <xdr:col>9</xdr:col>
      <xdr:colOff>142875</xdr:colOff>
      <xdr:row>12</xdr:row>
      <xdr:rowOff>142875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>
          <a:spLocks noChangeArrowheads="1"/>
        </xdr:cNvSpPr>
      </xdr:nvSpPr>
      <xdr:spPr bwMode="auto">
        <a:xfrm>
          <a:off x="6362700" y="2009775"/>
          <a:ext cx="209550" cy="209550"/>
        </a:xfrm>
        <a:prstGeom prst="wedgeEllipseCallout">
          <a:avLst>
            <a:gd name="adj1" fmla="val 95454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9525</xdr:colOff>
      <xdr:row>32</xdr:row>
      <xdr:rowOff>209550</xdr:rowOff>
    </xdr:from>
    <xdr:to>
      <xdr:col>4</xdr:col>
      <xdr:colOff>285750</xdr:colOff>
      <xdr:row>33</xdr:row>
      <xdr:rowOff>171450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43102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  <xdr:twoCellAnchor>
    <xdr:from>
      <xdr:col>2</xdr:col>
      <xdr:colOff>198120</xdr:colOff>
      <xdr:row>5</xdr:row>
      <xdr:rowOff>167640</xdr:rowOff>
    </xdr:from>
    <xdr:to>
      <xdr:col>3</xdr:col>
      <xdr:colOff>746761</xdr:colOff>
      <xdr:row>8</xdr:row>
      <xdr:rowOff>182880</xdr:rowOff>
    </xdr:to>
    <xdr:sp macro="" textlink="">
      <xdr:nvSpPr>
        <xdr:cNvPr id="60" name="Text Box 22">
          <a:extLst>
            <a:ext uri="{FF2B5EF4-FFF2-40B4-BE49-F238E27FC236}">
              <a16:creationId xmlns:a16="http://schemas.microsoft.com/office/drawing/2014/main" id="{84E6D713-4F00-4C65-AF94-386134DC9AE9}"/>
            </a:ext>
          </a:extLst>
        </xdr:cNvPr>
        <xdr:cNvSpPr txBox="1">
          <a:spLocks noChangeArrowheads="1"/>
        </xdr:cNvSpPr>
      </xdr:nvSpPr>
      <xdr:spPr bwMode="auto">
        <a:xfrm>
          <a:off x="2339340" y="1082040"/>
          <a:ext cx="1341121" cy="61722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/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Ranjeetsing Tawar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Matr.-Nr.   7026116</a:t>
          </a:r>
        </a:p>
        <a:p>
          <a:pPr marL="0" indent="0" algn="ctr" rtl="0">
            <a:defRPr sz="1000"/>
          </a:pPr>
          <a:r>
            <a:rPr lang="de-DE" sz="1100">
              <a:solidFill>
                <a:schemeClr val="tx1"/>
              </a:solidFill>
              <a:latin typeface="+mn-lt"/>
              <a:ea typeface="+mn-ea"/>
              <a:cs typeface="+mn-cs"/>
            </a:rPr>
            <a:t>2. Sem   MBIDA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it\GitTemplate\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opLeftCell="A10" workbookViewId="0">
      <selection activeCell="F18" sqref="F18"/>
    </sheetView>
  </sheetViews>
  <sheetFormatPr defaultColWidth="9.109375" defaultRowHeight="14.4"/>
  <cols>
    <col min="2" max="2" width="55" bestFit="1" customWidth="1"/>
  </cols>
  <sheetData>
    <row r="1" spans="1:9" ht="23.4">
      <c r="B1" s="1" t="s">
        <v>136</v>
      </c>
    </row>
    <row r="3" spans="1:9" ht="15" thickBot="1"/>
    <row r="4" spans="1:9">
      <c r="A4" s="2" t="s">
        <v>16</v>
      </c>
      <c r="B4" s="3" t="s">
        <v>135</v>
      </c>
      <c r="G4" s="4"/>
      <c r="H4" s="2" t="s">
        <v>17</v>
      </c>
      <c r="I4" s="3"/>
    </row>
    <row r="5" spans="1:9">
      <c r="A5" s="5" t="s">
        <v>18</v>
      </c>
      <c r="B5" s="6">
        <v>7026116</v>
      </c>
      <c r="H5" s="5" t="s">
        <v>19</v>
      </c>
      <c r="I5" s="7"/>
    </row>
    <row r="6" spans="1:9" ht="15" thickBot="1">
      <c r="A6" s="8"/>
      <c r="B6" s="9"/>
      <c r="H6" s="8" t="s">
        <v>20</v>
      </c>
      <c r="I6" s="9"/>
    </row>
    <row r="9" spans="1:9" ht="21">
      <c r="B9" s="142" t="s">
        <v>0</v>
      </c>
      <c r="C9" s="142"/>
      <c r="D9" s="142"/>
    </row>
    <row r="11" spans="1:9">
      <c r="A11" t="s">
        <v>89</v>
      </c>
    </row>
    <row r="13" spans="1:9" ht="21">
      <c r="A13" s="61" t="s">
        <v>1</v>
      </c>
      <c r="B13" s="61" t="s">
        <v>2</v>
      </c>
      <c r="C13" s="61" t="s">
        <v>3</v>
      </c>
      <c r="D13" s="61" t="s">
        <v>21</v>
      </c>
    </row>
    <row r="14" spans="1:9" ht="21">
      <c r="A14" s="142" t="s">
        <v>37</v>
      </c>
      <c r="B14" s="142"/>
      <c r="C14" s="142"/>
      <c r="D14" s="142"/>
    </row>
    <row r="15" spans="1:9">
      <c r="A15">
        <v>1</v>
      </c>
      <c r="B15" s="62" t="s">
        <v>10</v>
      </c>
      <c r="C15" s="143" t="s">
        <v>125</v>
      </c>
    </row>
    <row r="16" spans="1:9">
      <c r="A16">
        <f t="shared" ref="A16:A78" si="0">A15+1</f>
        <v>2</v>
      </c>
      <c r="B16" s="62" t="s">
        <v>90</v>
      </c>
      <c r="C16" s="143"/>
    </row>
    <row r="17" spans="1:3">
      <c r="A17">
        <f t="shared" si="0"/>
        <v>3</v>
      </c>
      <c r="B17" s="62" t="s">
        <v>91</v>
      </c>
      <c r="C17" s="143"/>
    </row>
    <row r="18" spans="1:3">
      <c r="A18">
        <f t="shared" si="0"/>
        <v>4</v>
      </c>
      <c r="B18" s="62" t="s">
        <v>4</v>
      </c>
      <c r="C18" s="143"/>
    </row>
    <row r="19" spans="1:3">
      <c r="A19">
        <f t="shared" si="0"/>
        <v>5</v>
      </c>
      <c r="B19" s="62" t="s">
        <v>5</v>
      </c>
      <c r="C19" s="143"/>
    </row>
    <row r="20" spans="1:3">
      <c r="A20">
        <f t="shared" si="0"/>
        <v>6</v>
      </c>
      <c r="B20" s="62" t="s">
        <v>7</v>
      </c>
      <c r="C20" s="143"/>
    </row>
    <row r="21" spans="1:3">
      <c r="A21">
        <f t="shared" si="0"/>
        <v>7</v>
      </c>
      <c r="B21" s="62" t="s">
        <v>92</v>
      </c>
      <c r="C21" s="143"/>
    </row>
    <row r="22" spans="1:3">
      <c r="A22">
        <f t="shared" si="0"/>
        <v>8</v>
      </c>
      <c r="B22" s="62" t="s">
        <v>6</v>
      </c>
      <c r="C22" s="143"/>
    </row>
    <row r="23" spans="1:3">
      <c r="A23">
        <f t="shared" si="0"/>
        <v>9</v>
      </c>
      <c r="B23" s="62" t="s">
        <v>8</v>
      </c>
      <c r="C23" s="143"/>
    </row>
    <row r="24" spans="1:3">
      <c r="A24">
        <f t="shared" si="0"/>
        <v>10</v>
      </c>
      <c r="B24" s="62" t="s">
        <v>9</v>
      </c>
      <c r="C24" s="143"/>
    </row>
    <row r="25" spans="1:3">
      <c r="A25">
        <f t="shared" si="0"/>
        <v>11</v>
      </c>
      <c r="B25" s="62" t="s">
        <v>103</v>
      </c>
      <c r="C25" s="143"/>
    </row>
    <row r="26" spans="1:3">
      <c r="A26">
        <f t="shared" si="0"/>
        <v>12</v>
      </c>
      <c r="B26" t="s">
        <v>22</v>
      </c>
      <c r="C26" s="144" t="s">
        <v>126</v>
      </c>
    </row>
    <row r="27" spans="1:3">
      <c r="A27">
        <f t="shared" si="0"/>
        <v>13</v>
      </c>
      <c r="B27" t="s">
        <v>12</v>
      </c>
      <c r="C27" s="144"/>
    </row>
    <row r="28" spans="1:3">
      <c r="A28">
        <f t="shared" si="0"/>
        <v>14</v>
      </c>
      <c r="B28" t="s">
        <v>98</v>
      </c>
      <c r="C28" s="144"/>
    </row>
    <row r="29" spans="1:3">
      <c r="A29">
        <f t="shared" si="0"/>
        <v>15</v>
      </c>
      <c r="B29" t="s">
        <v>99</v>
      </c>
      <c r="C29" s="144"/>
    </row>
    <row r="30" spans="1:3">
      <c r="A30">
        <f t="shared" si="0"/>
        <v>16</v>
      </c>
      <c r="B30" t="s">
        <v>93</v>
      </c>
      <c r="C30" s="144"/>
    </row>
    <row r="31" spans="1:3">
      <c r="A31">
        <f t="shared" si="0"/>
        <v>17</v>
      </c>
      <c r="B31" t="s">
        <v>100</v>
      </c>
      <c r="C31" s="144"/>
    </row>
    <row r="32" spans="1:3">
      <c r="A32">
        <f t="shared" si="0"/>
        <v>18</v>
      </c>
      <c r="B32" t="s">
        <v>101</v>
      </c>
      <c r="C32" s="144"/>
    </row>
    <row r="33" spans="1:4">
      <c r="A33">
        <f t="shared" si="0"/>
        <v>19</v>
      </c>
      <c r="B33" t="s">
        <v>23</v>
      </c>
      <c r="C33" s="144"/>
    </row>
    <row r="34" spans="1:4">
      <c r="A34">
        <f t="shared" si="0"/>
        <v>20</v>
      </c>
      <c r="B34" s="62" t="s">
        <v>24</v>
      </c>
      <c r="C34" s="143" t="s">
        <v>127</v>
      </c>
    </row>
    <row r="35" spans="1:4">
      <c r="A35">
        <f t="shared" si="0"/>
        <v>21</v>
      </c>
      <c r="B35" s="62" t="s">
        <v>31</v>
      </c>
      <c r="C35" s="143"/>
    </row>
    <row r="36" spans="1:4">
      <c r="A36">
        <f t="shared" si="0"/>
        <v>22</v>
      </c>
      <c r="B36" s="62" t="s">
        <v>25</v>
      </c>
      <c r="C36" s="143"/>
    </row>
    <row r="37" spans="1:4">
      <c r="A37">
        <f t="shared" si="0"/>
        <v>23</v>
      </c>
      <c r="B37" s="62" t="s">
        <v>102</v>
      </c>
      <c r="C37" s="143"/>
    </row>
    <row r="38" spans="1:4" ht="21">
      <c r="A38" s="142" t="s">
        <v>38</v>
      </c>
      <c r="B38" s="142"/>
      <c r="C38" s="142"/>
      <c r="D38" s="142"/>
    </row>
    <row r="39" spans="1:4">
      <c r="A39">
        <f>A37+1</f>
        <v>24</v>
      </c>
      <c r="B39" t="s">
        <v>30</v>
      </c>
      <c r="C39" s="144" t="s">
        <v>128</v>
      </c>
    </row>
    <row r="40" spans="1:4">
      <c r="A40">
        <f t="shared" si="0"/>
        <v>25</v>
      </c>
      <c r="B40" t="s">
        <v>32</v>
      </c>
      <c r="C40" s="144"/>
    </row>
    <row r="41" spans="1:4">
      <c r="A41">
        <f t="shared" si="0"/>
        <v>26</v>
      </c>
      <c r="B41" t="s">
        <v>33</v>
      </c>
      <c r="C41" s="144"/>
    </row>
    <row r="42" spans="1:4">
      <c r="A42">
        <f t="shared" si="0"/>
        <v>27</v>
      </c>
      <c r="B42" t="s">
        <v>42</v>
      </c>
      <c r="C42" s="144"/>
    </row>
    <row r="43" spans="1:4">
      <c r="A43">
        <f t="shared" si="0"/>
        <v>28</v>
      </c>
      <c r="B43" t="s">
        <v>44</v>
      </c>
      <c r="C43" s="144"/>
    </row>
    <row r="44" spans="1:4">
      <c r="A44">
        <f t="shared" si="0"/>
        <v>29</v>
      </c>
      <c r="B44" t="s">
        <v>119</v>
      </c>
      <c r="C44" s="144"/>
    </row>
    <row r="45" spans="1:4">
      <c r="A45">
        <f t="shared" si="0"/>
        <v>30</v>
      </c>
      <c r="B45" t="s">
        <v>118</v>
      </c>
      <c r="C45" s="144"/>
    </row>
    <row r="46" spans="1:4" ht="15" customHeight="1">
      <c r="A46">
        <f t="shared" si="0"/>
        <v>31</v>
      </c>
      <c r="B46" s="62" t="s">
        <v>104</v>
      </c>
      <c r="C46" s="145" t="s">
        <v>129</v>
      </c>
    </row>
    <row r="47" spans="1:4">
      <c r="A47">
        <f t="shared" si="0"/>
        <v>32</v>
      </c>
      <c r="B47" s="62" t="s">
        <v>105</v>
      </c>
      <c r="C47" s="145"/>
    </row>
    <row r="48" spans="1:4">
      <c r="A48">
        <f t="shared" si="0"/>
        <v>33</v>
      </c>
      <c r="B48" s="62" t="s">
        <v>106</v>
      </c>
      <c r="C48" s="145"/>
    </row>
    <row r="49" spans="1:3">
      <c r="A49">
        <f t="shared" si="0"/>
        <v>34</v>
      </c>
      <c r="B49" s="62" t="s">
        <v>107</v>
      </c>
      <c r="C49" s="145"/>
    </row>
    <row r="50" spans="1:3">
      <c r="A50">
        <f t="shared" si="0"/>
        <v>35</v>
      </c>
      <c r="B50" t="s">
        <v>108</v>
      </c>
      <c r="C50" s="146" t="s">
        <v>130</v>
      </c>
    </row>
    <row r="51" spans="1:3">
      <c r="A51">
        <f t="shared" si="0"/>
        <v>36</v>
      </c>
      <c r="B51" t="s">
        <v>109</v>
      </c>
      <c r="C51" s="146"/>
    </row>
    <row r="52" spans="1:3">
      <c r="A52">
        <f t="shared" si="0"/>
        <v>37</v>
      </c>
      <c r="B52" t="s">
        <v>120</v>
      </c>
      <c r="C52" s="146"/>
    </row>
    <row r="53" spans="1:3">
      <c r="A53">
        <f t="shared" si="0"/>
        <v>38</v>
      </c>
      <c r="B53" s="62" t="str">
        <f>[1]Report!$A$207</f>
        <v>Homework "Literature"</v>
      </c>
      <c r="C53" s="145" t="s">
        <v>131</v>
      </c>
    </row>
    <row r="54" spans="1:3">
      <c r="A54">
        <f t="shared" si="0"/>
        <v>39</v>
      </c>
      <c r="B54" s="62" t="s">
        <v>110</v>
      </c>
      <c r="C54" s="145"/>
    </row>
    <row r="55" spans="1:3">
      <c r="A55">
        <f t="shared" si="0"/>
        <v>40</v>
      </c>
      <c r="B55" s="62" t="s">
        <v>114</v>
      </c>
      <c r="C55" s="145"/>
    </row>
    <row r="56" spans="1:3">
      <c r="A56">
        <f t="shared" si="0"/>
        <v>41</v>
      </c>
      <c r="B56" t="s">
        <v>113</v>
      </c>
      <c r="C56" s="146" t="s">
        <v>132</v>
      </c>
    </row>
    <row r="57" spans="1:3">
      <c r="A57">
        <f t="shared" si="0"/>
        <v>42</v>
      </c>
      <c r="B57" t="s">
        <v>115</v>
      </c>
      <c r="C57" s="146"/>
    </row>
    <row r="58" spans="1:3">
      <c r="A58">
        <f>A57+1</f>
        <v>43</v>
      </c>
      <c r="B58" t="s">
        <v>111</v>
      </c>
      <c r="C58" s="146"/>
    </row>
    <row r="59" spans="1:3">
      <c r="A59">
        <f t="shared" si="0"/>
        <v>44</v>
      </c>
      <c r="B59" t="s">
        <v>112</v>
      </c>
      <c r="C59" s="146"/>
    </row>
    <row r="60" spans="1:3">
      <c r="A60">
        <f t="shared" si="0"/>
        <v>45</v>
      </c>
      <c r="B60" s="62" t="s">
        <v>116</v>
      </c>
      <c r="C60" s="145" t="s">
        <v>133</v>
      </c>
    </row>
    <row r="61" spans="1:3">
      <c r="A61">
        <f t="shared" si="0"/>
        <v>46</v>
      </c>
      <c r="B61" s="62" t="s">
        <v>117</v>
      </c>
      <c r="C61" s="145"/>
    </row>
    <row r="62" spans="1:3">
      <c r="A62">
        <f t="shared" si="0"/>
        <v>47</v>
      </c>
      <c r="B62" s="62" t="s">
        <v>122</v>
      </c>
      <c r="C62" s="145"/>
    </row>
    <row r="63" spans="1:3">
      <c r="A63">
        <f t="shared" si="0"/>
        <v>48</v>
      </c>
      <c r="B63" t="s">
        <v>121</v>
      </c>
      <c r="C63" s="146" t="s">
        <v>134</v>
      </c>
    </row>
    <row r="64" spans="1:3">
      <c r="A64">
        <f t="shared" si="0"/>
        <v>49</v>
      </c>
      <c r="B64" s="63" t="s">
        <v>123</v>
      </c>
      <c r="C64" s="146"/>
    </row>
    <row r="65" spans="1:4">
      <c r="A65">
        <f t="shared" si="0"/>
        <v>50</v>
      </c>
      <c r="B65" s="63" t="s">
        <v>124</v>
      </c>
      <c r="C65" s="146"/>
    </row>
    <row r="66" spans="1:4" ht="21">
      <c r="A66" s="142" t="s">
        <v>39</v>
      </c>
      <c r="B66" s="142"/>
      <c r="C66" s="142"/>
      <c r="D66" s="142"/>
    </row>
    <row r="67" spans="1:4">
      <c r="A67">
        <f>A65+1</f>
        <v>51</v>
      </c>
      <c r="B67" t="s">
        <v>34</v>
      </c>
    </row>
    <row r="68" spans="1:4">
      <c r="A68">
        <f t="shared" si="0"/>
        <v>52</v>
      </c>
      <c r="B68" t="s">
        <v>35</v>
      </c>
    </row>
    <row r="69" spans="1:4">
      <c r="A69">
        <f t="shared" si="0"/>
        <v>53</v>
      </c>
      <c r="B69" t="s">
        <v>36</v>
      </c>
    </row>
    <row r="70" spans="1:4">
      <c r="A70">
        <f t="shared" si="0"/>
        <v>54</v>
      </c>
      <c r="B70" t="s">
        <v>45</v>
      </c>
    </row>
    <row r="71" spans="1:4">
      <c r="A71">
        <f>A70+1</f>
        <v>55</v>
      </c>
      <c r="B71" t="s">
        <v>41</v>
      </c>
    </row>
    <row r="72" spans="1:4">
      <c r="A72">
        <f t="shared" si="0"/>
        <v>56</v>
      </c>
      <c r="B72" t="s">
        <v>40</v>
      </c>
    </row>
    <row r="73" spans="1:4">
      <c r="A73">
        <f t="shared" si="0"/>
        <v>57</v>
      </c>
      <c r="B73" t="s">
        <v>43</v>
      </c>
    </row>
    <row r="74" spans="1:4">
      <c r="A74">
        <f t="shared" si="0"/>
        <v>58</v>
      </c>
      <c r="B74" t="s">
        <v>46</v>
      </c>
    </row>
    <row r="75" spans="1:4">
      <c r="A75">
        <f t="shared" si="0"/>
        <v>59</v>
      </c>
    </row>
    <row r="76" spans="1:4">
      <c r="A76">
        <f t="shared" si="0"/>
        <v>60</v>
      </c>
    </row>
    <row r="77" spans="1:4">
      <c r="A77">
        <f t="shared" si="0"/>
        <v>61</v>
      </c>
    </row>
    <row r="78" spans="1:4">
      <c r="A78">
        <f t="shared" si="0"/>
        <v>62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6EA5-B6F4-47D6-AC52-769953112EBF}">
  <dimension ref="A1:AC51"/>
  <sheetViews>
    <sheetView tabSelected="1" topLeftCell="A15" zoomScale="124" workbookViewId="0">
      <selection activeCell="A22" sqref="A22:XFD22"/>
    </sheetView>
  </sheetViews>
  <sheetFormatPr defaultRowHeight="14.4"/>
  <cols>
    <col min="2" max="2" width="28.77734375" customWidth="1"/>
    <col min="3" max="3" width="10.6640625" customWidth="1"/>
  </cols>
  <sheetData>
    <row r="1" spans="1:29">
      <c r="A1" s="64"/>
      <c r="B1" s="65"/>
      <c r="C1" s="65"/>
      <c r="D1" s="65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</row>
    <row r="2" spans="1:29">
      <c r="A2" s="64"/>
      <c r="B2" s="65"/>
      <c r="C2" s="65"/>
      <c r="D2" s="65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</row>
    <row r="3" spans="1:29">
      <c r="A3" s="64"/>
      <c r="B3" s="65"/>
      <c r="C3" s="65"/>
      <c r="D3" s="65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</row>
    <row r="4" spans="1:29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</row>
    <row r="5" spans="1:29">
      <c r="A5" s="64"/>
      <c r="B5" s="65"/>
      <c r="C5" s="65"/>
      <c r="D5" s="65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>
      <c r="A6" s="64"/>
      <c r="B6" s="65"/>
      <c r="C6" s="65"/>
      <c r="D6" s="65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5"/>
      <c r="S6" s="65"/>
      <c r="T6" t="s">
        <v>137</v>
      </c>
      <c r="U6" s="65"/>
      <c r="V6" s="65"/>
      <c r="W6" s="65"/>
      <c r="X6" s="65"/>
      <c r="Y6" s="65"/>
      <c r="Z6" s="65"/>
      <c r="AA6" s="65"/>
      <c r="AB6" s="65"/>
      <c r="AC6" s="65"/>
    </row>
    <row r="7" spans="1:29" ht="15.6">
      <c r="A7" s="64"/>
      <c r="B7" s="64"/>
      <c r="C7" s="64"/>
      <c r="D7" s="64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5"/>
      <c r="S7" s="65" t="s">
        <v>54</v>
      </c>
      <c r="T7" s="65" t="s">
        <v>138</v>
      </c>
      <c r="U7" s="65"/>
      <c r="V7" s="65"/>
      <c r="W7" s="65"/>
      <c r="X7" s="65"/>
      <c r="Y7" s="65"/>
      <c r="Z7" s="65"/>
      <c r="AA7" s="65"/>
      <c r="AB7" s="65"/>
      <c r="AC7" s="65"/>
    </row>
    <row r="8" spans="1:29" ht="17.399999999999999">
      <c r="A8" s="64"/>
      <c r="B8" s="64"/>
      <c r="C8" s="64"/>
      <c r="D8" s="64"/>
      <c r="E8" s="147" t="s">
        <v>136</v>
      </c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65"/>
      <c r="S8" s="65"/>
      <c r="T8" s="65" t="s">
        <v>139</v>
      </c>
      <c r="U8" s="65"/>
      <c r="V8" s="65"/>
      <c r="W8" s="65"/>
      <c r="X8" s="65"/>
      <c r="Y8" s="65"/>
      <c r="Z8" s="65"/>
      <c r="AA8" s="65"/>
      <c r="AB8" s="65"/>
      <c r="AC8" s="65"/>
    </row>
    <row r="9" spans="1:29" ht="15.6">
      <c r="A9" s="64"/>
      <c r="B9" s="64"/>
      <c r="C9" s="64"/>
      <c r="D9" s="64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ht="15" thickBot="1">
      <c r="A10" s="64"/>
      <c r="B10" s="65"/>
      <c r="C10" s="65"/>
      <c r="D10" s="65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ht="15" thickTop="1">
      <c r="A11" s="67"/>
      <c r="B11" s="68"/>
      <c r="C11" s="69" t="s">
        <v>67</v>
      </c>
      <c r="D11" s="70">
        <v>40</v>
      </c>
      <c r="E11" s="70">
        <v>41</v>
      </c>
      <c r="F11" s="70">
        <v>42</v>
      </c>
      <c r="G11" s="70">
        <v>43</v>
      </c>
      <c r="H11" s="70">
        <v>44</v>
      </c>
      <c r="I11" s="70">
        <v>45</v>
      </c>
      <c r="J11" s="70">
        <v>46</v>
      </c>
      <c r="K11" s="70">
        <v>47</v>
      </c>
      <c r="L11" s="70">
        <v>48</v>
      </c>
      <c r="M11" s="70">
        <v>49</v>
      </c>
      <c r="N11" s="70">
        <v>50</v>
      </c>
      <c r="O11" s="70">
        <v>51</v>
      </c>
      <c r="P11" s="70">
        <v>52</v>
      </c>
      <c r="Q11" s="70">
        <v>1</v>
      </c>
      <c r="R11" s="70">
        <v>2</v>
      </c>
      <c r="S11" s="70">
        <v>3</v>
      </c>
      <c r="T11" s="71">
        <v>4</v>
      </c>
      <c r="U11" s="72">
        <v>5</v>
      </c>
      <c r="V11" s="72">
        <v>6</v>
      </c>
      <c r="W11" s="72">
        <v>7</v>
      </c>
      <c r="X11" s="65"/>
      <c r="Y11" s="65"/>
      <c r="Z11" s="65"/>
      <c r="AA11" s="65"/>
      <c r="AB11" s="65"/>
      <c r="AC11" s="65"/>
    </row>
    <row r="12" spans="1:29">
      <c r="A12" s="73"/>
      <c r="B12" s="74"/>
      <c r="C12" s="75" t="s">
        <v>68</v>
      </c>
      <c r="D12" s="76">
        <v>1</v>
      </c>
      <c r="E12" s="76">
        <v>2</v>
      </c>
      <c r="F12" s="76">
        <v>3</v>
      </c>
      <c r="G12" s="76">
        <v>4</v>
      </c>
      <c r="H12" s="76">
        <v>5</v>
      </c>
      <c r="I12" s="76">
        <v>6</v>
      </c>
      <c r="J12" s="76">
        <v>7</v>
      </c>
      <c r="K12" s="76">
        <v>8</v>
      </c>
      <c r="L12" s="76">
        <v>9</v>
      </c>
      <c r="M12" s="76">
        <v>10</v>
      </c>
      <c r="N12" s="76">
        <v>11</v>
      </c>
      <c r="O12" s="76">
        <v>12</v>
      </c>
      <c r="P12" s="76">
        <v>13</v>
      </c>
      <c r="Q12" s="76">
        <v>14</v>
      </c>
      <c r="R12" s="76">
        <v>15</v>
      </c>
      <c r="S12" s="76">
        <v>16</v>
      </c>
      <c r="T12" s="77">
        <v>17</v>
      </c>
      <c r="U12" s="78">
        <v>18</v>
      </c>
      <c r="V12" s="78">
        <v>19</v>
      </c>
      <c r="W12" s="78">
        <v>20</v>
      </c>
      <c r="X12" s="65"/>
      <c r="Y12" s="65"/>
      <c r="Z12" s="65"/>
      <c r="AA12" s="65"/>
      <c r="AB12" s="65"/>
      <c r="AC12" s="65"/>
    </row>
    <row r="13" spans="1:29" ht="15" thickBot="1">
      <c r="A13" s="79" t="s">
        <v>69</v>
      </c>
      <c r="B13" s="80" t="s">
        <v>70</v>
      </c>
      <c r="C13" s="81" t="s">
        <v>71</v>
      </c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3"/>
      <c r="U13" s="84"/>
      <c r="V13" s="84"/>
      <c r="W13" s="84"/>
      <c r="X13" s="65"/>
      <c r="Y13" s="65"/>
      <c r="Z13" s="65"/>
      <c r="AA13" s="65"/>
      <c r="AB13" s="65"/>
      <c r="AC13" s="65"/>
    </row>
    <row r="14" spans="1:29">
      <c r="A14" s="85">
        <v>1</v>
      </c>
      <c r="B14" s="86" t="s">
        <v>140</v>
      </c>
      <c r="C14" s="87">
        <v>2</v>
      </c>
      <c r="D14" s="88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90"/>
      <c r="W14" s="90"/>
      <c r="X14" s="65"/>
      <c r="Y14" s="65"/>
      <c r="Z14" s="65"/>
      <c r="AA14" s="65"/>
      <c r="AB14" s="65"/>
      <c r="AC14" s="65"/>
    </row>
    <row r="15" spans="1:29">
      <c r="A15" s="73">
        <v>2</v>
      </c>
      <c r="B15" s="86" t="s">
        <v>141</v>
      </c>
      <c r="C15" s="87">
        <v>1</v>
      </c>
      <c r="D15" s="64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90"/>
      <c r="W15" s="90"/>
      <c r="X15" s="65"/>
      <c r="Y15" s="65"/>
      <c r="Z15" s="65"/>
      <c r="AA15" s="65"/>
      <c r="AB15" s="65"/>
      <c r="AC15" s="65"/>
    </row>
    <row r="16" spans="1:29">
      <c r="A16" s="73">
        <v>3</v>
      </c>
      <c r="B16" s="86" t="s">
        <v>142</v>
      </c>
      <c r="C16" s="87">
        <v>2</v>
      </c>
      <c r="D16" s="64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90"/>
      <c r="W16" s="90"/>
      <c r="X16" s="65"/>
      <c r="Y16" s="65"/>
      <c r="Z16" s="65"/>
      <c r="AA16" s="65"/>
      <c r="AB16" s="65"/>
      <c r="AC16" s="65"/>
    </row>
    <row r="17" spans="1:29">
      <c r="A17" s="73">
        <v>4</v>
      </c>
      <c r="B17" s="91" t="s">
        <v>143</v>
      </c>
      <c r="C17" s="87">
        <v>2</v>
      </c>
      <c r="D17" s="64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90"/>
      <c r="W17" s="90"/>
      <c r="X17" s="65"/>
      <c r="Y17" s="65"/>
      <c r="Z17" s="65"/>
      <c r="AA17" s="65"/>
      <c r="AB17" s="65"/>
      <c r="AC17" s="65"/>
    </row>
    <row r="18" spans="1:29">
      <c r="A18" s="73">
        <v>5</v>
      </c>
      <c r="B18" s="92" t="s">
        <v>72</v>
      </c>
      <c r="C18" s="93">
        <v>16</v>
      </c>
      <c r="D18" s="94"/>
      <c r="E18" s="95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0"/>
      <c r="W18" s="90"/>
      <c r="X18" s="65"/>
      <c r="Y18" s="65"/>
      <c r="Z18" s="65"/>
      <c r="AA18" s="65"/>
      <c r="AB18" s="65"/>
      <c r="AC18" s="65"/>
    </row>
    <row r="19" spans="1:29">
      <c r="A19" s="73">
        <v>6</v>
      </c>
      <c r="B19" s="101" t="s">
        <v>158</v>
      </c>
      <c r="C19" s="87">
        <v>6</v>
      </c>
      <c r="D19" s="94"/>
      <c r="E19" s="97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65"/>
      <c r="Y19" s="65"/>
      <c r="Z19" s="65"/>
      <c r="AA19" s="65"/>
      <c r="AB19" s="65"/>
      <c r="AC19" s="65"/>
    </row>
    <row r="20" spans="1:29">
      <c r="A20" s="73">
        <v>7</v>
      </c>
      <c r="B20" s="98" t="s">
        <v>144</v>
      </c>
      <c r="C20" s="99">
        <v>5</v>
      </c>
      <c r="D20" s="94"/>
      <c r="E20" s="97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65"/>
      <c r="Y20" s="65"/>
      <c r="Z20" s="65"/>
      <c r="AA20" s="65"/>
      <c r="AB20" s="65"/>
      <c r="AC20" s="65"/>
    </row>
    <row r="21" spans="1:29">
      <c r="A21" s="73">
        <v>8</v>
      </c>
      <c r="B21" s="100" t="s">
        <v>145</v>
      </c>
      <c r="C21" s="99">
        <v>5</v>
      </c>
      <c r="D21" s="94"/>
      <c r="E21" s="97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65"/>
      <c r="Y21" s="65"/>
      <c r="Z21" s="65"/>
      <c r="AA21" s="65"/>
      <c r="AB21" s="65"/>
      <c r="AC21" s="65"/>
    </row>
    <row r="22" spans="1:29">
      <c r="A22" s="73">
        <v>9</v>
      </c>
      <c r="B22" s="105" t="s">
        <v>146</v>
      </c>
      <c r="C22" s="99">
        <v>5</v>
      </c>
      <c r="D22" s="94"/>
      <c r="E22" s="97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65"/>
      <c r="Y22" s="65"/>
      <c r="Z22" s="65"/>
      <c r="AA22" s="65"/>
      <c r="AB22" s="65"/>
      <c r="AC22" s="65"/>
    </row>
    <row r="23" spans="1:29">
      <c r="A23" s="73">
        <v>10</v>
      </c>
      <c r="B23" s="100" t="s">
        <v>147</v>
      </c>
      <c r="C23" s="99">
        <v>5</v>
      </c>
      <c r="D23" s="94"/>
      <c r="E23" s="97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65"/>
      <c r="Y23" s="65"/>
      <c r="Z23" s="65"/>
      <c r="AA23" s="65"/>
      <c r="AB23" s="65"/>
      <c r="AC23" s="65"/>
    </row>
    <row r="24" spans="1:29">
      <c r="A24" s="73">
        <v>11</v>
      </c>
      <c r="B24" s="102" t="s">
        <v>175</v>
      </c>
      <c r="C24" s="99">
        <v>5</v>
      </c>
      <c r="D24" s="94"/>
      <c r="E24" s="97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65"/>
      <c r="Y24" s="65"/>
      <c r="Z24" s="65"/>
      <c r="AA24" s="65"/>
      <c r="AB24" s="65"/>
      <c r="AC24" s="65"/>
    </row>
    <row r="25" spans="1:29">
      <c r="A25" s="73">
        <v>12</v>
      </c>
      <c r="B25" s="102" t="s">
        <v>148</v>
      </c>
      <c r="C25" s="99">
        <v>7</v>
      </c>
      <c r="D25" s="94"/>
      <c r="E25" s="97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65"/>
      <c r="Y25" s="65"/>
      <c r="Z25" s="65"/>
      <c r="AA25" s="65"/>
      <c r="AB25" s="65"/>
      <c r="AC25" s="65"/>
    </row>
    <row r="26" spans="1:29">
      <c r="A26" s="73">
        <v>13</v>
      </c>
      <c r="B26" s="103" t="s">
        <v>149</v>
      </c>
      <c r="C26" s="99">
        <v>5</v>
      </c>
      <c r="D26" s="94"/>
      <c r="E26" s="97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65"/>
      <c r="Y26" s="65"/>
      <c r="Z26" s="65"/>
      <c r="AA26" s="65"/>
      <c r="AB26" s="65"/>
      <c r="AC26" s="65"/>
    </row>
    <row r="27" spans="1:29">
      <c r="A27" s="73">
        <v>14</v>
      </c>
      <c r="B27" s="104" t="s">
        <v>150</v>
      </c>
      <c r="C27" s="99">
        <v>6</v>
      </c>
      <c r="D27" s="94"/>
      <c r="E27" s="97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65"/>
      <c r="Y27" s="65"/>
      <c r="Z27" s="65"/>
      <c r="AA27" s="65"/>
      <c r="AB27" s="65"/>
      <c r="AC27" s="65"/>
    </row>
    <row r="28" spans="1:29">
      <c r="A28" s="73">
        <v>15</v>
      </c>
      <c r="B28" s="105" t="s">
        <v>151</v>
      </c>
      <c r="C28" s="99">
        <v>6</v>
      </c>
      <c r="D28" s="94"/>
      <c r="E28" s="97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65"/>
      <c r="Y28" s="65"/>
      <c r="Z28" s="65"/>
      <c r="AA28" s="65"/>
      <c r="AB28" s="65"/>
      <c r="AC28" s="65"/>
    </row>
    <row r="29" spans="1:29">
      <c r="A29" s="73">
        <v>16</v>
      </c>
      <c r="B29" s="98" t="s">
        <v>152</v>
      </c>
      <c r="C29" s="99">
        <v>6</v>
      </c>
      <c r="D29" s="94"/>
      <c r="E29" s="97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65"/>
      <c r="Y29" s="65"/>
      <c r="Z29" s="65"/>
      <c r="AA29" s="65"/>
      <c r="AB29" s="65"/>
      <c r="AC29" s="65"/>
    </row>
    <row r="30" spans="1:29">
      <c r="A30" s="73">
        <v>17</v>
      </c>
      <c r="B30" s="104" t="s">
        <v>153</v>
      </c>
      <c r="C30" s="99">
        <v>7</v>
      </c>
      <c r="D30" s="94"/>
      <c r="E30" s="97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65"/>
      <c r="Y30" s="65"/>
      <c r="Z30" s="65"/>
      <c r="AA30" s="65"/>
      <c r="AB30" s="65"/>
      <c r="AC30" s="65"/>
    </row>
    <row r="31" spans="1:29">
      <c r="A31" s="73">
        <v>18</v>
      </c>
      <c r="B31" s="105" t="s">
        <v>154</v>
      </c>
      <c r="C31" s="99">
        <v>7</v>
      </c>
      <c r="D31" s="94"/>
      <c r="E31" s="97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65"/>
      <c r="Y31" s="65"/>
      <c r="Z31" s="65"/>
      <c r="AA31" s="65"/>
      <c r="AB31" s="65"/>
      <c r="AC31" s="65"/>
    </row>
    <row r="32" spans="1:29">
      <c r="A32" s="73">
        <v>19</v>
      </c>
      <c r="B32" s="98" t="s">
        <v>155</v>
      </c>
      <c r="C32" s="99">
        <v>7</v>
      </c>
      <c r="D32" s="94"/>
      <c r="E32" s="97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65"/>
      <c r="Y32" s="65"/>
      <c r="Z32" s="65"/>
      <c r="AA32" s="65"/>
      <c r="AB32" s="65"/>
      <c r="AC32" s="65"/>
    </row>
    <row r="33" spans="1:29">
      <c r="A33" s="73">
        <v>20</v>
      </c>
      <c r="B33" s="106" t="s">
        <v>156</v>
      </c>
      <c r="C33" s="107">
        <v>5</v>
      </c>
      <c r="D33" s="94"/>
      <c r="E33" s="97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65"/>
      <c r="Y33" s="65"/>
      <c r="Z33" s="65"/>
      <c r="AA33" s="65"/>
      <c r="AB33" s="65"/>
      <c r="AC33" s="65"/>
    </row>
    <row r="34" spans="1:29">
      <c r="A34" s="73">
        <v>21</v>
      </c>
      <c r="B34" s="108" t="s">
        <v>157</v>
      </c>
      <c r="C34" s="107">
        <v>5</v>
      </c>
      <c r="D34" s="94"/>
      <c r="E34" s="97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65"/>
      <c r="Y34" s="65"/>
      <c r="Z34" s="65"/>
      <c r="AA34" s="65"/>
      <c r="AB34" s="65"/>
      <c r="AC34" s="65"/>
    </row>
    <row r="35" spans="1:29">
      <c r="A35" s="73">
        <v>23</v>
      </c>
      <c r="B35" s="109" t="s">
        <v>159</v>
      </c>
      <c r="C35" s="99">
        <v>3</v>
      </c>
      <c r="D35" s="94"/>
      <c r="E35" s="97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65"/>
      <c r="Y35" s="65"/>
      <c r="Z35" s="65"/>
      <c r="AA35" s="65"/>
      <c r="AB35" s="65"/>
      <c r="AC35" s="65"/>
    </row>
    <row r="36" spans="1:29">
      <c r="A36" s="73">
        <v>24</v>
      </c>
      <c r="B36" s="110" t="s">
        <v>160</v>
      </c>
      <c r="C36" s="111">
        <v>10</v>
      </c>
      <c r="D36" s="94"/>
      <c r="E36" s="112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90"/>
      <c r="U36" s="90"/>
      <c r="V36" s="90"/>
      <c r="W36" s="90"/>
      <c r="X36" s="65"/>
      <c r="Y36" s="65"/>
      <c r="Z36" s="65"/>
      <c r="AA36" s="65"/>
      <c r="AB36" s="65"/>
      <c r="AC36" s="65"/>
    </row>
    <row r="37" spans="1:29">
      <c r="A37" s="73">
        <v>25</v>
      </c>
      <c r="B37" s="114" t="s">
        <v>161</v>
      </c>
      <c r="C37" s="111">
        <v>5</v>
      </c>
      <c r="D37" s="94"/>
      <c r="E37" s="112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90"/>
      <c r="U37" s="90"/>
      <c r="V37" s="90"/>
      <c r="W37" s="90"/>
      <c r="X37" s="65"/>
      <c r="Y37" s="65"/>
      <c r="Z37" s="65"/>
      <c r="AA37" s="65"/>
      <c r="AB37" s="65"/>
      <c r="AC37" s="65"/>
    </row>
    <row r="38" spans="1:29">
      <c r="A38" s="73">
        <v>26</v>
      </c>
      <c r="B38" s="115" t="s">
        <v>162</v>
      </c>
      <c r="C38" s="107">
        <v>6</v>
      </c>
      <c r="D38" s="94"/>
      <c r="E38" s="112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90"/>
      <c r="U38" s="90"/>
      <c r="V38" s="90"/>
      <c r="W38" s="90"/>
      <c r="X38" s="65"/>
      <c r="Y38" s="65"/>
      <c r="Z38" s="65"/>
      <c r="AA38" s="65"/>
      <c r="AB38" s="65"/>
      <c r="AC38" s="65"/>
    </row>
    <row r="39" spans="1:29">
      <c r="A39" s="73">
        <v>27</v>
      </c>
      <c r="B39" s="114" t="s">
        <v>163</v>
      </c>
      <c r="C39" s="111">
        <v>5</v>
      </c>
      <c r="D39" s="94"/>
      <c r="E39" s="112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90"/>
      <c r="U39" s="90"/>
      <c r="V39" s="90"/>
      <c r="W39" s="90"/>
      <c r="X39" s="65"/>
      <c r="Y39" s="65"/>
      <c r="Z39" s="65"/>
      <c r="AA39" s="65"/>
      <c r="AB39" s="65"/>
      <c r="AC39" s="65"/>
    </row>
    <row r="40" spans="1:29">
      <c r="A40" s="73">
        <v>28</v>
      </c>
      <c r="B40" s="116" t="s">
        <v>174</v>
      </c>
      <c r="C40" s="111">
        <v>5</v>
      </c>
      <c r="D40" s="94"/>
      <c r="E40" s="112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90"/>
      <c r="U40" s="90"/>
      <c r="V40" s="90"/>
      <c r="W40" s="90"/>
      <c r="X40" s="65"/>
      <c r="Y40" s="65"/>
      <c r="Z40" s="65"/>
      <c r="AA40" s="65"/>
      <c r="AB40" s="65"/>
      <c r="AC40" s="65"/>
    </row>
    <row r="41" spans="1:29">
      <c r="A41" s="73">
        <v>29</v>
      </c>
      <c r="B41" s="116" t="s">
        <v>176</v>
      </c>
      <c r="C41" s="111">
        <v>3</v>
      </c>
      <c r="D41" s="94"/>
      <c r="E41" s="112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90"/>
      <c r="U41" s="90"/>
      <c r="V41" s="90"/>
      <c r="W41" s="90"/>
      <c r="X41" s="65"/>
      <c r="Y41" s="65"/>
      <c r="Z41" s="65"/>
      <c r="AA41" s="65"/>
      <c r="AB41" s="65"/>
      <c r="AC41" s="65"/>
    </row>
    <row r="42" spans="1:29">
      <c r="A42" s="73">
        <v>29</v>
      </c>
      <c r="B42" s="116" t="s">
        <v>164</v>
      </c>
      <c r="C42" s="111">
        <v>6</v>
      </c>
      <c r="D42" s="94"/>
      <c r="E42" s="112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90"/>
      <c r="U42" s="90"/>
      <c r="V42" s="90"/>
      <c r="W42" s="90"/>
      <c r="X42" s="65"/>
      <c r="Y42" s="65"/>
      <c r="Z42" s="65"/>
      <c r="AA42" s="65"/>
      <c r="AB42" s="65"/>
      <c r="AC42" s="65"/>
    </row>
    <row r="43" spans="1:29">
      <c r="A43" s="73">
        <v>30</v>
      </c>
      <c r="B43" s="116" t="s">
        <v>165</v>
      </c>
      <c r="C43" s="111">
        <v>8</v>
      </c>
      <c r="D43" s="94"/>
      <c r="E43" s="112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90"/>
      <c r="U43" s="90"/>
      <c r="V43" s="90"/>
      <c r="W43" s="90"/>
      <c r="X43" s="65"/>
      <c r="Y43" s="65"/>
      <c r="Z43" s="65"/>
      <c r="AA43" s="65"/>
      <c r="AB43" s="65"/>
      <c r="AC43" s="65"/>
    </row>
    <row r="44" spans="1:29">
      <c r="A44" s="73">
        <v>31</v>
      </c>
      <c r="B44" s="108" t="s">
        <v>166</v>
      </c>
      <c r="C44" s="117">
        <v>4</v>
      </c>
      <c r="D44" s="94"/>
      <c r="E44" s="112"/>
      <c r="F44" s="94"/>
      <c r="G44" s="94"/>
      <c r="H44" s="94"/>
      <c r="I44" s="94"/>
      <c r="J44" s="94"/>
      <c r="K44" s="94"/>
      <c r="L44" s="113"/>
      <c r="M44" s="94"/>
      <c r="N44" s="94"/>
      <c r="O44" s="94"/>
      <c r="P44" s="94"/>
      <c r="Q44" s="94"/>
      <c r="R44" s="94"/>
      <c r="S44" s="94"/>
      <c r="T44" s="90"/>
      <c r="U44" s="90"/>
      <c r="V44" s="90"/>
      <c r="W44" s="90"/>
      <c r="X44" s="65"/>
      <c r="Y44" s="65"/>
      <c r="Z44" s="65"/>
      <c r="AA44" s="65"/>
      <c r="AB44" s="65"/>
      <c r="AC44" s="65"/>
    </row>
    <row r="45" spans="1:29">
      <c r="A45" s="73">
        <v>32</v>
      </c>
      <c r="B45" s="118" t="s">
        <v>167</v>
      </c>
      <c r="C45" s="107">
        <v>4</v>
      </c>
      <c r="D45" s="94"/>
      <c r="E45" s="112"/>
      <c r="F45" s="94"/>
      <c r="G45" s="94"/>
      <c r="H45" s="94"/>
      <c r="I45" s="94"/>
      <c r="J45" s="94"/>
      <c r="K45" s="94"/>
      <c r="L45" s="113"/>
      <c r="M45" s="94"/>
      <c r="N45" s="94"/>
      <c r="O45" s="94"/>
      <c r="P45" s="94"/>
      <c r="Q45" s="94"/>
      <c r="R45" s="94"/>
      <c r="S45" s="94"/>
      <c r="T45" s="90"/>
      <c r="U45" s="90"/>
      <c r="V45" s="90"/>
      <c r="W45" s="90"/>
      <c r="X45" s="65"/>
      <c r="Y45" s="65"/>
      <c r="Z45" s="65"/>
      <c r="AA45" s="65"/>
      <c r="AB45" s="65"/>
      <c r="AC45" s="65"/>
    </row>
    <row r="46" spans="1:29">
      <c r="A46" s="73">
        <v>33</v>
      </c>
      <c r="B46" s="110" t="s">
        <v>168</v>
      </c>
      <c r="C46" s="111">
        <v>4</v>
      </c>
      <c r="D46" s="94"/>
      <c r="E46" s="112"/>
      <c r="F46" s="94"/>
      <c r="G46" s="94"/>
      <c r="H46" s="94"/>
      <c r="I46" s="94"/>
      <c r="J46" s="94"/>
      <c r="K46" s="94"/>
      <c r="L46" s="113"/>
      <c r="M46" s="94"/>
      <c r="N46" s="94"/>
      <c r="O46" s="94"/>
      <c r="P46" s="94"/>
      <c r="Q46" s="94"/>
      <c r="R46" s="94"/>
      <c r="S46" s="94"/>
      <c r="T46" s="90"/>
      <c r="U46" s="90"/>
      <c r="V46" s="90"/>
      <c r="W46" s="90"/>
      <c r="X46" s="65"/>
      <c r="Y46" s="65"/>
      <c r="Z46" s="65"/>
      <c r="AA46" s="65"/>
      <c r="AB46" s="65"/>
      <c r="AC46" s="65"/>
    </row>
    <row r="47" spans="1:29" ht="15" thickBot="1">
      <c r="A47" s="73">
        <v>34</v>
      </c>
      <c r="B47" s="110" t="s">
        <v>169</v>
      </c>
      <c r="C47" s="107">
        <v>12</v>
      </c>
      <c r="D47" s="94"/>
      <c r="E47" s="112"/>
      <c r="F47" s="64"/>
      <c r="G47" s="64"/>
      <c r="H47" s="64"/>
      <c r="I47" s="64"/>
      <c r="J47" s="64"/>
      <c r="K47" s="64"/>
      <c r="L47" s="113"/>
      <c r="M47" s="64"/>
      <c r="N47" s="64"/>
      <c r="O47" s="64"/>
      <c r="P47" s="64"/>
      <c r="Q47" s="64"/>
      <c r="R47" s="64"/>
      <c r="S47" s="64"/>
      <c r="T47" s="96"/>
      <c r="U47" s="119"/>
      <c r="V47" s="119"/>
      <c r="W47" s="119"/>
      <c r="X47" s="65"/>
      <c r="Y47" s="65"/>
      <c r="Z47" s="65"/>
      <c r="AA47" s="65"/>
      <c r="AB47" s="65"/>
      <c r="AC47" s="65"/>
    </row>
    <row r="48" spans="1:29" ht="54" thickTop="1">
      <c r="A48" s="120"/>
      <c r="B48" s="121" t="s">
        <v>77</v>
      </c>
      <c r="C48" s="122"/>
      <c r="D48" s="122"/>
      <c r="E48" s="123"/>
      <c r="F48" s="122"/>
      <c r="G48" s="122"/>
      <c r="H48" s="122"/>
      <c r="I48" s="122"/>
      <c r="J48" s="122"/>
      <c r="K48" s="122"/>
      <c r="L48" s="124"/>
      <c r="M48" s="122"/>
      <c r="N48" s="122"/>
      <c r="O48" s="122"/>
      <c r="P48" s="125" t="s">
        <v>170</v>
      </c>
      <c r="Q48" s="122"/>
      <c r="R48" s="122"/>
      <c r="S48" s="122"/>
      <c r="T48" s="122"/>
      <c r="U48" s="126"/>
      <c r="V48" s="127"/>
      <c r="W48" s="126" t="s">
        <v>171</v>
      </c>
      <c r="X48" s="65"/>
      <c r="Y48" s="65"/>
      <c r="Z48" s="65"/>
      <c r="AA48" s="65"/>
      <c r="AB48" s="65"/>
      <c r="AC48" s="65"/>
    </row>
    <row r="49" spans="1:29" ht="66">
      <c r="A49" s="128"/>
      <c r="B49" s="129" t="s">
        <v>81</v>
      </c>
      <c r="C49" s="130"/>
      <c r="D49" s="130"/>
      <c r="E49" s="131"/>
      <c r="F49" s="90"/>
      <c r="G49" s="90"/>
      <c r="H49" s="90"/>
      <c r="I49" s="90"/>
      <c r="J49" s="90"/>
      <c r="K49" s="90"/>
      <c r="L49" s="65"/>
      <c r="M49" s="90"/>
      <c r="N49" s="132"/>
      <c r="O49" s="90"/>
      <c r="P49" s="133"/>
      <c r="Q49" s="65"/>
      <c r="R49" s="65"/>
      <c r="S49" s="132" t="s">
        <v>172</v>
      </c>
      <c r="T49" s="65"/>
      <c r="U49" s="134"/>
      <c r="V49" s="134"/>
      <c r="W49" s="134" t="s">
        <v>173</v>
      </c>
      <c r="X49" s="65"/>
      <c r="Y49" s="65"/>
      <c r="Z49" s="65"/>
      <c r="AA49" s="65"/>
      <c r="AB49" s="65"/>
      <c r="AC49" s="65"/>
    </row>
    <row r="50" spans="1:29" ht="15" thickBot="1">
      <c r="A50" s="135"/>
      <c r="B50" s="136" t="s">
        <v>84</v>
      </c>
      <c r="C50" s="137"/>
      <c r="D50" s="137"/>
      <c r="E50" s="138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40"/>
      <c r="Q50" s="139"/>
      <c r="R50" s="139"/>
      <c r="S50" s="139"/>
      <c r="T50" s="139"/>
      <c r="U50" s="141"/>
      <c r="V50" s="141"/>
      <c r="W50" s="141"/>
      <c r="X50" s="65"/>
      <c r="Y50" s="65"/>
      <c r="Z50" s="65"/>
      <c r="AA50" s="65"/>
      <c r="AB50" s="65"/>
      <c r="AC50" s="65"/>
    </row>
    <row r="51" spans="1:29" ht="15" thickTop="1"/>
  </sheetData>
  <mergeCells count="1">
    <mergeCell ref="E8:Q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14" workbookViewId="0">
      <selection activeCell="O34" sqref="O34"/>
    </sheetView>
  </sheetViews>
  <sheetFormatPr defaultColWidth="9.109375" defaultRowHeight="14.4"/>
  <cols>
    <col min="2" max="2" width="29.5546875" bestFit="1" customWidth="1"/>
  </cols>
  <sheetData>
    <row r="7" spans="1:9" ht="23.4">
      <c r="B7" s="1" t="s">
        <v>136</v>
      </c>
    </row>
    <row r="9" spans="1:9" ht="15" thickBot="1"/>
    <row r="10" spans="1:9">
      <c r="A10" s="2" t="s">
        <v>16</v>
      </c>
      <c r="B10" s="3" t="s">
        <v>135</v>
      </c>
      <c r="G10" s="4"/>
      <c r="H10" s="2" t="s">
        <v>17</v>
      </c>
      <c r="I10" s="3"/>
    </row>
    <row r="11" spans="1:9">
      <c r="A11" s="5" t="s">
        <v>18</v>
      </c>
      <c r="B11" s="6">
        <v>7026116</v>
      </c>
      <c r="H11" s="5" t="s">
        <v>19</v>
      </c>
      <c r="I11" s="7"/>
    </row>
    <row r="12" spans="1:9" ht="15" thickBot="1">
      <c r="A12" s="8"/>
      <c r="B12" s="9"/>
      <c r="H12" s="8" t="s">
        <v>20</v>
      </c>
      <c r="I12" s="9"/>
    </row>
    <row r="15" spans="1:9" ht="21">
      <c r="B15" s="142" t="s">
        <v>87</v>
      </c>
      <c r="C15" s="142"/>
      <c r="D15" s="142"/>
    </row>
    <row r="18" spans="1:4">
      <c r="A18" s="10" t="s">
        <v>14</v>
      </c>
      <c r="B18" s="10" t="s">
        <v>15</v>
      </c>
      <c r="C18" s="10" t="s">
        <v>3</v>
      </c>
      <c r="D18" s="10" t="s">
        <v>21</v>
      </c>
    </row>
    <row r="19" spans="1:4">
      <c r="A19" t="s">
        <v>94</v>
      </c>
      <c r="B19" t="s">
        <v>11</v>
      </c>
    </row>
    <row r="20" spans="1:4">
      <c r="B20" t="s">
        <v>96</v>
      </c>
    </row>
    <row r="21" spans="1:4">
      <c r="B21" t="s">
        <v>12</v>
      </c>
    </row>
    <row r="22" spans="1:4">
      <c r="B22" t="s">
        <v>13</v>
      </c>
    </row>
    <row r="23" spans="1:4">
      <c r="B23" t="s">
        <v>95</v>
      </c>
    </row>
    <row r="24" spans="1:4">
      <c r="B24" t="s">
        <v>97</v>
      </c>
    </row>
    <row r="25" spans="1:4">
      <c r="B25" t="s">
        <v>88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workbookViewId="0">
      <selection activeCell="S16" sqref="S16"/>
    </sheetView>
  </sheetViews>
  <sheetFormatPr defaultColWidth="11.5546875" defaultRowHeight="14.4"/>
  <sheetData>
    <row r="1" spans="1:18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8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18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8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spans="1:18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8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</row>
    <row r="7" spans="1:18" ht="15.6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/>
    </row>
    <row r="8" spans="1:18" ht="17.399999999999999">
      <c r="A8" s="11"/>
      <c r="B8" s="11"/>
      <c r="C8" s="11"/>
      <c r="D8" s="148" t="s">
        <v>47</v>
      </c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1"/>
    </row>
    <row r="9" spans="1:18" ht="15.6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1"/>
    </row>
    <row r="10" spans="1:18" ht="15" thickBot="1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 spans="1:18" ht="15" thickTop="1">
      <c r="A11" s="13"/>
      <c r="B11" s="14"/>
      <c r="C11" s="14" t="s">
        <v>26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48</v>
      </c>
      <c r="M11" s="16">
        <v>26</v>
      </c>
      <c r="N11" s="16">
        <v>27</v>
      </c>
      <c r="O11" s="16" t="s">
        <v>48</v>
      </c>
      <c r="P11" s="17">
        <v>30</v>
      </c>
      <c r="Q11" s="11"/>
    </row>
    <row r="12" spans="1:18">
      <c r="A12" s="18"/>
      <c r="B12" s="19"/>
      <c r="C12" s="19" t="s">
        <v>49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48</v>
      </c>
      <c r="M12" s="21">
        <v>16</v>
      </c>
      <c r="N12" s="21">
        <v>17</v>
      </c>
      <c r="O12" s="21" t="s">
        <v>48</v>
      </c>
      <c r="P12" s="22">
        <v>20</v>
      </c>
      <c r="Q12" s="11"/>
    </row>
    <row r="13" spans="1:18" ht="15" thickBot="1">
      <c r="A13" s="23" t="s">
        <v>27</v>
      </c>
      <c r="B13" s="24" t="s">
        <v>28</v>
      </c>
      <c r="C13" s="25" t="s">
        <v>50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  <c r="Q13" s="11"/>
    </row>
    <row r="14" spans="1:18">
      <c r="A14" s="29">
        <v>1</v>
      </c>
      <c r="B14" s="30" t="s">
        <v>51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  <c r="Q14" s="35"/>
      <c r="R14" s="36"/>
    </row>
    <row r="15" spans="1:18">
      <c r="A15" s="37">
        <f>A14+1</f>
        <v>2</v>
      </c>
      <c r="B15" s="38" t="s">
        <v>48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  <c r="Q15" s="35"/>
      <c r="R15" s="36"/>
    </row>
    <row r="16" spans="1:18">
      <c r="A16" s="37">
        <f t="shared" ref="A16:A30" si="0">A15+1</f>
        <v>3</v>
      </c>
      <c r="B16" s="38" t="s">
        <v>48</v>
      </c>
      <c r="C16" s="39" t="s">
        <v>48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  <c r="Q16" s="35"/>
      <c r="R16" s="36"/>
    </row>
    <row r="17" spans="1:18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35"/>
      <c r="R17" s="36"/>
    </row>
    <row r="18" spans="1:18">
      <c r="A18" s="37">
        <f t="shared" si="0"/>
        <v>5</v>
      </c>
      <c r="B18" s="38"/>
      <c r="C18" s="39" t="s">
        <v>48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  <c r="Q18" s="35"/>
      <c r="R18" s="36"/>
    </row>
    <row r="19" spans="1:18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35"/>
      <c r="R19" s="36"/>
    </row>
    <row r="20" spans="1:18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  <c r="Q20" s="35"/>
      <c r="R20" s="36"/>
    </row>
    <row r="21" spans="1:18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  <c r="Q21" s="35"/>
      <c r="R21" s="36"/>
    </row>
    <row r="22" spans="1:18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  <c r="Q22" s="35"/>
      <c r="R22" s="36"/>
    </row>
    <row r="23" spans="1:18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35"/>
      <c r="R23" s="36"/>
    </row>
    <row r="24" spans="1:18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  <c r="Q24" s="35"/>
      <c r="R24" s="36"/>
    </row>
    <row r="25" spans="1:18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35"/>
      <c r="R25" s="36"/>
    </row>
    <row r="26" spans="1:18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  <c r="Q26" s="35"/>
      <c r="R26" s="36"/>
    </row>
    <row r="27" spans="1:18">
      <c r="A27" s="37">
        <f t="shared" si="0"/>
        <v>14</v>
      </c>
      <c r="B27" s="38" t="s">
        <v>52</v>
      </c>
      <c r="C27" s="39" t="s">
        <v>48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35"/>
      <c r="R27" s="36"/>
    </row>
    <row r="28" spans="1:18">
      <c r="A28" s="37">
        <f t="shared" si="0"/>
        <v>15</v>
      </c>
      <c r="B28" s="38" t="s">
        <v>53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  <c r="Q28" s="35"/>
      <c r="R28" s="36"/>
    </row>
    <row r="29" spans="1:18">
      <c r="A29" s="37">
        <f t="shared" si="0"/>
        <v>16</v>
      </c>
      <c r="B29" s="38" t="s">
        <v>54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  <c r="Q29" s="35"/>
      <c r="R29" s="36"/>
    </row>
    <row r="30" spans="1:18" ht="15" thickBot="1">
      <c r="A30" s="43">
        <f t="shared" si="0"/>
        <v>17</v>
      </c>
      <c r="B30" s="44" t="s">
        <v>55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  <c r="Q30" s="35"/>
      <c r="R30" s="36"/>
    </row>
    <row r="31" spans="1:18" ht="15" thickTop="1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8" ht="15" thickBot="1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8" ht="15" thickTop="1">
      <c r="A33" s="50"/>
      <c r="B33" s="51" t="s">
        <v>56</v>
      </c>
      <c r="C33" s="52"/>
      <c r="D33" s="53"/>
      <c r="E33" s="54"/>
      <c r="F33" s="54"/>
      <c r="G33" s="54"/>
      <c r="H33" s="54" t="s">
        <v>57</v>
      </c>
      <c r="I33" s="54"/>
      <c r="J33" s="54"/>
      <c r="K33" s="54" t="s">
        <v>58</v>
      </c>
      <c r="L33" s="54"/>
      <c r="M33" s="54" t="s">
        <v>59</v>
      </c>
      <c r="N33" s="54"/>
      <c r="O33" s="54"/>
      <c r="P33" s="55"/>
      <c r="Q33" s="35"/>
      <c r="R33" s="36"/>
    </row>
    <row r="34" spans="1:18">
      <c r="A34" s="37"/>
      <c r="B34" s="38" t="s">
        <v>60</v>
      </c>
      <c r="C34" s="39"/>
      <c r="D34" s="40"/>
      <c r="E34" s="41"/>
      <c r="F34" s="41"/>
      <c r="G34" s="41"/>
      <c r="H34" s="41"/>
      <c r="I34" s="41"/>
      <c r="J34" s="41" t="s">
        <v>61</v>
      </c>
      <c r="K34" s="41"/>
      <c r="L34" s="41"/>
      <c r="M34" s="41"/>
      <c r="N34" s="41"/>
      <c r="O34" s="56" t="s">
        <v>62</v>
      </c>
      <c r="P34" s="42"/>
      <c r="Q34" s="35"/>
      <c r="R34" s="36"/>
    </row>
    <row r="35" spans="1:18" ht="15" thickBot="1">
      <c r="A35" s="43"/>
      <c r="B35" s="44" t="s">
        <v>29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  <c r="Q35" s="35"/>
      <c r="R35" s="36"/>
    </row>
    <row r="36" spans="1:18" ht="15" thickTop="1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8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8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>
      <c r="A39" s="11"/>
      <c r="B39" s="57" t="s">
        <v>63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>
      <c r="A40" s="11"/>
      <c r="B40" s="57" t="s">
        <v>64</v>
      </c>
      <c r="D40" s="11"/>
      <c r="E40" s="11"/>
      <c r="F40" s="11"/>
      <c r="G40" s="11"/>
      <c r="H40" s="11"/>
      <c r="I40" s="11"/>
      <c r="J40" s="11"/>
      <c r="K40" s="58" t="s">
        <v>65</v>
      </c>
      <c r="L40" s="11"/>
      <c r="M40" s="11"/>
      <c r="N40" s="11"/>
      <c r="O40" s="11"/>
      <c r="P40" s="11"/>
      <c r="Q40" s="11"/>
    </row>
    <row r="41" spans="1:18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8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8">
      <c r="A43" s="11"/>
      <c r="B43" s="57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8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workbookViewId="0">
      <selection activeCell="B4" sqref="B4"/>
    </sheetView>
  </sheetViews>
  <sheetFormatPr defaultColWidth="11.5546875" defaultRowHeight="14.4"/>
  <cols>
    <col min="2" max="2" width="19.6640625" customWidth="1"/>
  </cols>
  <sheetData>
    <row r="1" spans="1:16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5.6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7.399999999999999">
      <c r="A8" s="11"/>
      <c r="B8" s="11"/>
      <c r="C8" s="11"/>
      <c r="D8" s="148" t="s">
        <v>66</v>
      </c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</row>
    <row r="9" spans="1:16" ht="15.6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5" thickBot="1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5" thickTop="1">
      <c r="A11" s="13"/>
      <c r="B11" s="14"/>
      <c r="C11" s="14" t="s">
        <v>67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48</v>
      </c>
      <c r="M11" s="16">
        <v>35</v>
      </c>
      <c r="N11" s="16">
        <v>36</v>
      </c>
      <c r="O11" s="16" t="s">
        <v>48</v>
      </c>
      <c r="P11" s="17">
        <v>39</v>
      </c>
    </row>
    <row r="12" spans="1:16">
      <c r="A12" s="18"/>
      <c r="B12" s="19"/>
      <c r="C12" s="19" t="s">
        <v>68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48</v>
      </c>
      <c r="M12" s="21">
        <v>26</v>
      </c>
      <c r="N12" s="21">
        <v>27</v>
      </c>
      <c r="O12" s="21" t="s">
        <v>48</v>
      </c>
      <c r="P12" s="22">
        <v>30</v>
      </c>
    </row>
    <row r="13" spans="1:16" ht="15" thickBot="1">
      <c r="A13" s="23" t="s">
        <v>69</v>
      </c>
      <c r="B13" s="24" t="s">
        <v>70</v>
      </c>
      <c r="C13" s="25" t="s">
        <v>71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</row>
    <row r="14" spans="1:16">
      <c r="A14" s="29">
        <v>1</v>
      </c>
      <c r="B14" s="59" t="s">
        <v>72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</row>
    <row r="15" spans="1:16">
      <c r="A15" s="37">
        <f>A14+1</f>
        <v>2</v>
      </c>
      <c r="B15" s="38" t="s">
        <v>48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</row>
    <row r="16" spans="1:16">
      <c r="A16" s="37">
        <f t="shared" ref="A16:A30" si="0">A15+1</f>
        <v>3</v>
      </c>
      <c r="B16" s="38" t="s">
        <v>48</v>
      </c>
      <c r="C16" s="39" t="s">
        <v>48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</row>
    <row r="17" spans="1:16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1:16">
      <c r="A18" s="37">
        <f t="shared" si="0"/>
        <v>5</v>
      </c>
      <c r="B18" s="38"/>
      <c r="C18" s="39" t="s">
        <v>48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</row>
    <row r="19" spans="1:16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</row>
    <row r="20" spans="1:16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</row>
    <row r="21" spans="1:16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</row>
    <row r="22" spans="1:16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</row>
    <row r="23" spans="1:16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</row>
    <row r="24" spans="1:16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</row>
    <row r="25" spans="1:16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</row>
    <row r="26" spans="1:16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</row>
    <row r="27" spans="1:16">
      <c r="A27" s="37">
        <f t="shared" si="0"/>
        <v>14</v>
      </c>
      <c r="B27" s="38" t="s">
        <v>73</v>
      </c>
      <c r="C27" s="39" t="s">
        <v>48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</row>
    <row r="28" spans="1:16">
      <c r="A28" s="37">
        <f t="shared" si="0"/>
        <v>15</v>
      </c>
      <c r="B28" s="60" t="s">
        <v>74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</row>
    <row r="29" spans="1:16">
      <c r="A29" s="37">
        <f t="shared" si="0"/>
        <v>16</v>
      </c>
      <c r="B29" s="38" t="s">
        <v>75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</row>
    <row r="30" spans="1:16" ht="15" thickBot="1">
      <c r="A30" s="43">
        <f t="shared" si="0"/>
        <v>17</v>
      </c>
      <c r="B30" s="44" t="s">
        <v>76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</row>
    <row r="31" spans="1:16" ht="15" thickTop="1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5" thickBot="1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5" thickTop="1">
      <c r="A33" s="50"/>
      <c r="B33" s="51" t="s">
        <v>77</v>
      </c>
      <c r="C33" s="52"/>
      <c r="D33" s="53"/>
      <c r="E33" s="54"/>
      <c r="F33" s="54"/>
      <c r="G33" s="54"/>
      <c r="H33" s="54" t="s">
        <v>78</v>
      </c>
      <c r="I33" s="54"/>
      <c r="J33" s="54"/>
      <c r="K33" s="54" t="s">
        <v>79</v>
      </c>
      <c r="L33" s="54"/>
      <c r="M33" s="54" t="s">
        <v>80</v>
      </c>
      <c r="N33" s="54"/>
      <c r="O33" s="54"/>
      <c r="P33" s="55"/>
    </row>
    <row r="34" spans="1:16">
      <c r="A34" s="37"/>
      <c r="B34" s="38" t="s">
        <v>81</v>
      </c>
      <c r="C34" s="39"/>
      <c r="D34" s="40"/>
      <c r="E34" s="41"/>
      <c r="F34" s="41"/>
      <c r="G34" s="41"/>
      <c r="H34" s="41"/>
      <c r="I34" s="41"/>
      <c r="J34" s="41" t="s">
        <v>82</v>
      </c>
      <c r="K34" s="41"/>
      <c r="L34" s="41"/>
      <c r="M34" s="41"/>
      <c r="N34" s="41"/>
      <c r="O34" s="56" t="s">
        <v>83</v>
      </c>
      <c r="P34" s="42"/>
    </row>
    <row r="35" spans="1:16" ht="15" thickBot="1">
      <c r="A35" s="43"/>
      <c r="B35" s="44" t="s">
        <v>84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</row>
    <row r="36" spans="1:16" ht="15" thickTop="1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>
      <c r="A39" s="11"/>
      <c r="B39" s="57" t="s">
        <v>85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>
      <c r="A40" s="11"/>
      <c r="D40" s="11"/>
      <c r="E40" s="11"/>
      <c r="F40" s="11"/>
      <c r="G40" s="11"/>
      <c r="H40" s="11"/>
      <c r="I40" s="11"/>
      <c r="J40" s="11"/>
      <c r="K40" s="58" t="s">
        <v>86</v>
      </c>
      <c r="L40" s="11"/>
      <c r="M40" s="11"/>
      <c r="N40" s="11"/>
      <c r="O40" s="11"/>
      <c r="P40" s="11"/>
    </row>
    <row r="41" spans="1:16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>
      <c r="A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Checklist</vt:lpstr>
      <vt:lpstr>Project Plan</vt:lpstr>
      <vt:lpstr>Resulting objects</vt:lpstr>
      <vt:lpstr>Projekt Plan V1.0 (deut.)</vt:lpstr>
      <vt:lpstr>Project Plan V1.0 (eng.)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2024-12-18T10:17:06Z</dcterms:modified>
</cp:coreProperties>
</file>