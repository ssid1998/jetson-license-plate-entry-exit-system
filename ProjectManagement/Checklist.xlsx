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filterPrivacy="1" defaultThemeVersion="124226"/>
  <xr:revisionPtr revIDLastSave="0" documentId="13_ncr:1_{4282C8B0-6E26-7945-832C-3A61545264E1}" xr6:coauthVersionLast="47" xr6:coauthVersionMax="47" xr10:uidLastSave="{00000000-0000-0000-0000-000000000000}"/>
  <bookViews>
    <workbookView xWindow="4880" yWindow="620" windowWidth="46320" windowHeight="25260" xr2:uid="{00000000-000D-0000-FFFF-FFFF00000000}"/>
  </bookViews>
  <sheets>
    <sheet name="Checklist" sheetId="1" r:id="rId1"/>
    <sheet name="Projekt Plan V1.0 (deut.)" sheetId="4" r:id="rId2"/>
    <sheet name="Project Plan V1.0 (eng.)" sheetId="5" r:id="rId3"/>
    <sheet name="Resulting objects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<sst xmlns="http://schemas.openxmlformats.org/spreadsheetml/2006/main" count="164" uniqueCount="137">
  <si>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</si>
  <si>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</si>
  <si>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</si>
  <si>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</si>
  <si>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</si>
  <si>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</si>
  <si>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</si>
  <si>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</si>
  <si>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</si>
  <si>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</si>
  <si>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</si>
  <si>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</si>
  <si>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</si>
  <si>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</si>
  <si>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</si>
  <si>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</si>
  <si>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Object Detection with Jetson Nano integrated in a Kuka KR6</t>
  </si>
  <si>
    <t>Name, Vorname</t>
  </si>
  <si>
    <t>cc: Firmenbetreuer</t>
  </si>
  <si>
    <t>Matr.-Nr</t>
  </si>
  <si>
    <t>&lt;1234567&gt;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</si>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</sst>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590675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Personal Data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790700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Weeks since start of project =&gt; duration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8" name="AutoShap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Git/GitTemplate/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11" workbookViewId="0">
      <selection activeCell="D24" sqref="D24"/>
    </sheetView>
  </sheetViews>
  <sheetFormatPr baseColWidth="10" defaultColWidth="9.1640625" defaultRowHeight="15" x14ac:dyDescent="0.2"/>
  <cols>
    <col min="2" max="2" width="55" bestFit="1" customWidth="1"/>
  </cols>
  <sheetData>
    <row r="1" spans="1:9" ht="24" x14ac:dyDescent="0.3">
      <c r="B1" s="1" t="s">
        <v>16</v>
      </c>
    </row>
    <row r="3" spans="1:9" ht="16" thickBot="1" x14ac:dyDescent="0.25"/>
    <row r="4" spans="1:9" x14ac:dyDescent="0.2">
      <c r="A4" s="2" t="s">
        <v>17</v>
      </c>
      <c r="B4" s="3"/>
      <c r="G4" s="4"/>
      <c r="H4" s="2" t="s">
        <v>18</v>
      </c>
      <c r="I4" s="3"/>
    </row>
    <row r="5" spans="1:9" x14ac:dyDescent="0.2">
      <c r="A5" s="5" t="s">
        <v>19</v>
      </c>
      <c r="B5" s="6" t="s">
        <v>20</v>
      </c>
      <c r="H5" s="5" t="s">
        <v>21</v>
      </c>
      <c r="I5" s="7"/>
    </row>
    <row r="6" spans="1:9" ht="16" thickBot="1" x14ac:dyDescent="0.25">
      <c r="A6" s="8"/>
      <c r="B6" s="9"/>
      <c r="H6" s="8" t="s">
        <v>22</v>
      </c>
      <c r="I6" s="9"/>
    </row>
    <row r="9" spans="1:9" ht="21" x14ac:dyDescent="0.25">
      <c r="B9" s="64" t="s">
        <v>0</v>
      </c>
      <c r="C9" s="64"/>
      <c r="D9" s="64"/>
    </row>
    <row r="11" spans="1:9" x14ac:dyDescent="0.2">
      <c r="A11" t="s">
        <v>91</v>
      </c>
    </row>
    <row r="13" spans="1:9" ht="21" x14ac:dyDescent="0.25">
      <c r="A13" s="61" t="s">
        <v>1</v>
      </c>
      <c r="B13" s="61" t="s">
        <v>2</v>
      </c>
      <c r="C13" s="61" t="s">
        <v>3</v>
      </c>
      <c r="D13" s="61" t="s">
        <v>23</v>
      </c>
    </row>
    <row r="14" spans="1:9" ht="21" x14ac:dyDescent="0.25">
      <c r="A14" s="64" t="s">
        <v>39</v>
      </c>
      <c r="B14" s="64"/>
      <c r="C14" s="64"/>
      <c r="D14" s="64"/>
    </row>
    <row r="15" spans="1:9" x14ac:dyDescent="0.2">
      <c r="A15">
        <v>1</v>
      </c>
      <c r="B15" s="62" t="s">
        <v>10</v>
      </c>
      <c r="C15" s="65" t="s">
        <v>127</v>
      </c>
      <c r="D15" s="70">
        <v>45925</v>
      </c>
    </row>
    <row r="16" spans="1:9" x14ac:dyDescent="0.2">
      <c r="A16">
        <f t="shared" ref="A16:A78" si="0">A15+1</f>
        <v>2</v>
      </c>
      <c r="B16" s="62" t="s">
        <v>92</v>
      </c>
      <c r="C16" s="65"/>
      <c r="D16" s="70">
        <v>45927</v>
      </c>
    </row>
    <row r="17" spans="1:4" x14ac:dyDescent="0.2">
      <c r="A17">
        <f t="shared" si="0"/>
        <v>3</v>
      </c>
      <c r="B17" s="62" t="s">
        <v>93</v>
      </c>
      <c r="C17" s="65"/>
      <c r="D17" s="70">
        <v>45926</v>
      </c>
    </row>
    <row r="18" spans="1:4" x14ac:dyDescent="0.2">
      <c r="A18">
        <f t="shared" si="0"/>
        <v>4</v>
      </c>
      <c r="B18" s="62" t="s">
        <v>4</v>
      </c>
      <c r="C18" s="65"/>
      <c r="D18" s="70">
        <v>45926</v>
      </c>
    </row>
    <row r="19" spans="1:4" x14ac:dyDescent="0.2">
      <c r="A19">
        <f t="shared" si="0"/>
        <v>5</v>
      </c>
      <c r="B19" s="62" t="s">
        <v>5</v>
      </c>
      <c r="C19" s="65"/>
      <c r="D19" s="70">
        <v>45926</v>
      </c>
    </row>
    <row r="20" spans="1:4" x14ac:dyDescent="0.2">
      <c r="A20">
        <f t="shared" si="0"/>
        <v>6</v>
      </c>
      <c r="B20" s="62" t="s">
        <v>7</v>
      </c>
      <c r="C20" s="65"/>
      <c r="D20" s="70">
        <v>45926</v>
      </c>
    </row>
    <row r="21" spans="1:4" x14ac:dyDescent="0.2">
      <c r="A21">
        <f t="shared" si="0"/>
        <v>7</v>
      </c>
      <c r="B21" s="62" t="s">
        <v>94</v>
      </c>
      <c r="C21" s="65"/>
      <c r="D21" s="70">
        <v>45957</v>
      </c>
    </row>
    <row r="22" spans="1:4" x14ac:dyDescent="0.2">
      <c r="A22">
        <f t="shared" si="0"/>
        <v>8</v>
      </c>
      <c r="B22" s="62" t="s">
        <v>6</v>
      </c>
      <c r="C22" s="65"/>
      <c r="D22" s="70">
        <v>45957</v>
      </c>
    </row>
    <row r="23" spans="1:4" x14ac:dyDescent="0.2">
      <c r="A23">
        <f t="shared" si="0"/>
        <v>9</v>
      </c>
      <c r="B23" s="62" t="s">
        <v>8</v>
      </c>
      <c r="C23" s="65"/>
      <c r="D23" s="70">
        <v>45957</v>
      </c>
    </row>
    <row r="24" spans="1:4" x14ac:dyDescent="0.2">
      <c r="A24">
        <f t="shared" si="0"/>
        <v>10</v>
      </c>
      <c r="B24" s="62" t="s">
        <v>9</v>
      </c>
      <c r="C24" s="65"/>
      <c r="D24" s="70">
        <v>45957</v>
      </c>
    </row>
    <row r="25" spans="1:4" x14ac:dyDescent="0.2">
      <c r="A25">
        <f t="shared" si="0"/>
        <v>11</v>
      </c>
      <c r="B25" s="62" t="s">
        <v>105</v>
      </c>
      <c r="C25" s="65"/>
    </row>
    <row r="26" spans="1:4" x14ac:dyDescent="0.2">
      <c r="A26">
        <f t="shared" si="0"/>
        <v>12</v>
      </c>
      <c r="B26" t="s">
        <v>24</v>
      </c>
      <c r="C26" s="66" t="s">
        <v>128</v>
      </c>
    </row>
    <row r="27" spans="1:4" x14ac:dyDescent="0.2">
      <c r="A27">
        <f t="shared" si="0"/>
        <v>13</v>
      </c>
      <c r="B27" t="s">
        <v>12</v>
      </c>
      <c r="C27" s="66"/>
    </row>
    <row r="28" spans="1:4" x14ac:dyDescent="0.2">
      <c r="A28">
        <f t="shared" si="0"/>
        <v>14</v>
      </c>
      <c r="B28" t="s">
        <v>100</v>
      </c>
      <c r="C28" s="66"/>
    </row>
    <row r="29" spans="1:4" x14ac:dyDescent="0.2">
      <c r="A29">
        <f t="shared" si="0"/>
        <v>15</v>
      </c>
      <c r="B29" t="s">
        <v>101</v>
      </c>
      <c r="C29" s="66"/>
    </row>
    <row r="30" spans="1:4" x14ac:dyDescent="0.2">
      <c r="A30">
        <f t="shared" si="0"/>
        <v>16</v>
      </c>
      <c r="B30" t="s">
        <v>95</v>
      </c>
      <c r="C30" s="66"/>
    </row>
    <row r="31" spans="1:4" x14ac:dyDescent="0.2">
      <c r="A31">
        <f t="shared" si="0"/>
        <v>17</v>
      </c>
      <c r="B31" t="s">
        <v>102</v>
      </c>
      <c r="C31" s="66"/>
    </row>
    <row r="32" spans="1:4" x14ac:dyDescent="0.2">
      <c r="A32">
        <f t="shared" si="0"/>
        <v>18</v>
      </c>
      <c r="B32" t="s">
        <v>103</v>
      </c>
      <c r="C32" s="66"/>
    </row>
    <row r="33" spans="1:4" x14ac:dyDescent="0.2">
      <c r="A33">
        <f t="shared" si="0"/>
        <v>19</v>
      </c>
      <c r="B33" t="s">
        <v>25</v>
      </c>
      <c r="C33" s="66"/>
    </row>
    <row r="34" spans="1:4" x14ac:dyDescent="0.2">
      <c r="A34">
        <f t="shared" si="0"/>
        <v>20</v>
      </c>
      <c r="B34" s="62" t="s">
        <v>26</v>
      </c>
      <c r="C34" s="65" t="s">
        <v>129</v>
      </c>
    </row>
    <row r="35" spans="1:4" x14ac:dyDescent="0.2">
      <c r="A35">
        <f t="shared" si="0"/>
        <v>21</v>
      </c>
      <c r="B35" s="62" t="s">
        <v>33</v>
      </c>
      <c r="C35" s="65"/>
    </row>
    <row r="36" spans="1:4" x14ac:dyDescent="0.2">
      <c r="A36">
        <f t="shared" si="0"/>
        <v>22</v>
      </c>
      <c r="B36" s="62" t="s">
        <v>27</v>
      </c>
      <c r="C36" s="65"/>
    </row>
    <row r="37" spans="1:4" x14ac:dyDescent="0.2">
      <c r="A37">
        <f t="shared" si="0"/>
        <v>23</v>
      </c>
      <c r="B37" s="62" t="s">
        <v>104</v>
      </c>
      <c r="C37" s="65"/>
    </row>
    <row r="38" spans="1:4" ht="21" x14ac:dyDescent="0.25">
      <c r="A38" s="64" t="s">
        <v>40</v>
      </c>
      <c r="B38" s="64"/>
      <c r="C38" s="64"/>
      <c r="D38" s="64"/>
    </row>
    <row r="39" spans="1:4" x14ac:dyDescent="0.2">
      <c r="A39">
        <f>A37+1</f>
        <v>24</v>
      </c>
      <c r="B39" t="s">
        <v>32</v>
      </c>
      <c r="C39" s="66" t="s">
        <v>130</v>
      </c>
    </row>
    <row r="40" spans="1:4" x14ac:dyDescent="0.2">
      <c r="A40">
        <f t="shared" si="0"/>
        <v>25</v>
      </c>
      <c r="B40" t="s">
        <v>34</v>
      </c>
      <c r="C40" s="66"/>
    </row>
    <row r="41" spans="1:4" x14ac:dyDescent="0.2">
      <c r="A41">
        <f t="shared" si="0"/>
        <v>26</v>
      </c>
      <c r="B41" t="s">
        <v>35</v>
      </c>
      <c r="C41" s="66"/>
    </row>
    <row r="42" spans="1:4" x14ac:dyDescent="0.2">
      <c r="A42">
        <f t="shared" si="0"/>
        <v>27</v>
      </c>
      <c r="B42" t="s">
        <v>44</v>
      </c>
      <c r="C42" s="66"/>
    </row>
    <row r="43" spans="1:4" x14ac:dyDescent="0.2">
      <c r="A43">
        <f t="shared" si="0"/>
        <v>28</v>
      </c>
      <c r="B43" t="s">
        <v>46</v>
      </c>
      <c r="C43" s="66"/>
    </row>
    <row r="44" spans="1:4" x14ac:dyDescent="0.2">
      <c r="A44">
        <f t="shared" si="0"/>
        <v>29</v>
      </c>
      <c r="B44" t="s">
        <v>121</v>
      </c>
      <c r="C44" s="66"/>
    </row>
    <row r="45" spans="1:4" x14ac:dyDescent="0.2">
      <c r="A45">
        <f t="shared" si="0"/>
        <v>30</v>
      </c>
      <c r="B45" t="s">
        <v>120</v>
      </c>
      <c r="C45" s="66"/>
    </row>
    <row r="46" spans="1:4" ht="15" customHeight="1" x14ac:dyDescent="0.2">
      <c r="A46">
        <f t="shared" si="0"/>
        <v>31</v>
      </c>
      <c r="B46" s="62" t="s">
        <v>106</v>
      </c>
      <c r="C46" s="67" t="s">
        <v>131</v>
      </c>
    </row>
    <row r="47" spans="1:4" x14ac:dyDescent="0.2">
      <c r="A47">
        <f t="shared" si="0"/>
        <v>32</v>
      </c>
      <c r="B47" s="62" t="s">
        <v>107</v>
      </c>
      <c r="C47" s="67"/>
    </row>
    <row r="48" spans="1:4" x14ac:dyDescent="0.2">
      <c r="A48">
        <f t="shared" si="0"/>
        <v>33</v>
      </c>
      <c r="B48" s="62" t="s">
        <v>108</v>
      </c>
      <c r="C48" s="67"/>
    </row>
    <row r="49" spans="1:3" x14ac:dyDescent="0.2">
      <c r="A49">
        <f t="shared" si="0"/>
        <v>34</v>
      </c>
      <c r="B49" s="62" t="s">
        <v>109</v>
      </c>
      <c r="C49" s="67"/>
    </row>
    <row r="50" spans="1:3" x14ac:dyDescent="0.2">
      <c r="A50">
        <f t="shared" si="0"/>
        <v>35</v>
      </c>
      <c r="B50" t="s">
        <v>110</v>
      </c>
      <c r="C50" s="68" t="s">
        <v>132</v>
      </c>
    </row>
    <row r="51" spans="1:3" x14ac:dyDescent="0.2">
      <c r="A51">
        <f t="shared" si="0"/>
        <v>36</v>
      </c>
      <c r="B51" t="s">
        <v>111</v>
      </c>
      <c r="C51" s="68"/>
    </row>
    <row r="52" spans="1:3" x14ac:dyDescent="0.2">
      <c r="A52">
        <f t="shared" si="0"/>
        <v>37</v>
      </c>
      <c r="B52" t="s">
        <v>122</v>
      </c>
      <c r="C52" s="68"/>
    </row>
    <row r="53" spans="1:3" x14ac:dyDescent="0.2">
      <c r="A53">
        <f t="shared" si="0"/>
        <v>38</v>
      </c>
      <c r="B53" s="62" t="str">
        <f>[1]Report!$A$207</f>
        <v>Homework "Literature"</v>
      </c>
      <c r="C53" s="67" t="s">
        <v>133</v>
      </c>
    </row>
    <row r="54" spans="1:3" x14ac:dyDescent="0.2">
      <c r="A54">
        <f t="shared" si="0"/>
        <v>39</v>
      </c>
      <c r="B54" s="62" t="s">
        <v>112</v>
      </c>
      <c r="C54" s="67"/>
    </row>
    <row r="55" spans="1:3" x14ac:dyDescent="0.2">
      <c r="A55">
        <f t="shared" si="0"/>
        <v>40</v>
      </c>
      <c r="B55" s="62" t="s">
        <v>116</v>
      </c>
      <c r="C55" s="67"/>
    </row>
    <row r="56" spans="1:3" x14ac:dyDescent="0.2">
      <c r="A56">
        <f t="shared" si="0"/>
        <v>41</v>
      </c>
      <c r="B56" t="s">
        <v>115</v>
      </c>
      <c r="C56" s="68" t="s">
        <v>134</v>
      </c>
    </row>
    <row r="57" spans="1:3" x14ac:dyDescent="0.2">
      <c r="A57">
        <f t="shared" si="0"/>
        <v>42</v>
      </c>
      <c r="B57" t="s">
        <v>117</v>
      </c>
      <c r="C57" s="68"/>
    </row>
    <row r="58" spans="1:3" x14ac:dyDescent="0.2">
      <c r="A58">
        <f>A57+1</f>
        <v>43</v>
      </c>
      <c r="B58" t="s">
        <v>113</v>
      </c>
      <c r="C58" s="68"/>
    </row>
    <row r="59" spans="1:3" x14ac:dyDescent="0.2">
      <c r="A59">
        <f t="shared" si="0"/>
        <v>44</v>
      </c>
      <c r="B59" t="s">
        <v>114</v>
      </c>
      <c r="C59" s="68"/>
    </row>
    <row r="60" spans="1:3" x14ac:dyDescent="0.2">
      <c r="A60">
        <f t="shared" si="0"/>
        <v>45</v>
      </c>
      <c r="B60" s="62" t="s">
        <v>118</v>
      </c>
      <c r="C60" s="67" t="s">
        <v>135</v>
      </c>
    </row>
    <row r="61" spans="1:3" x14ac:dyDescent="0.2">
      <c r="A61">
        <f t="shared" si="0"/>
        <v>46</v>
      </c>
      <c r="B61" s="62" t="s">
        <v>119</v>
      </c>
      <c r="C61" s="67"/>
    </row>
    <row r="62" spans="1:3" x14ac:dyDescent="0.2">
      <c r="A62">
        <f t="shared" si="0"/>
        <v>47</v>
      </c>
      <c r="B62" s="62" t="s">
        <v>124</v>
      </c>
      <c r="C62" s="67"/>
    </row>
    <row r="63" spans="1:3" x14ac:dyDescent="0.2">
      <c r="A63">
        <f t="shared" si="0"/>
        <v>48</v>
      </c>
      <c r="B63" t="s">
        <v>123</v>
      </c>
      <c r="C63" s="68" t="s">
        <v>136</v>
      </c>
    </row>
    <row r="64" spans="1:3" x14ac:dyDescent="0.2">
      <c r="A64">
        <f t="shared" si="0"/>
        <v>49</v>
      </c>
      <c r="B64" s="63" t="s">
        <v>125</v>
      </c>
      <c r="C64" s="68"/>
    </row>
    <row r="65" spans="1:4" x14ac:dyDescent="0.2">
      <c r="A65">
        <f t="shared" si="0"/>
        <v>50</v>
      </c>
      <c r="B65" s="63" t="s">
        <v>126</v>
      </c>
      <c r="C65" s="68"/>
    </row>
    <row r="66" spans="1:4" ht="21" x14ac:dyDescent="0.25">
      <c r="A66" s="64" t="s">
        <v>41</v>
      </c>
      <c r="B66" s="64"/>
      <c r="C66" s="64"/>
      <c r="D66" s="64"/>
    </row>
    <row r="67" spans="1:4" x14ac:dyDescent="0.2">
      <c r="A67">
        <f>A65+1</f>
        <v>51</v>
      </c>
      <c r="B67" t="s">
        <v>36</v>
      </c>
    </row>
    <row r="68" spans="1:4" x14ac:dyDescent="0.2">
      <c r="A68">
        <f t="shared" si="0"/>
        <v>52</v>
      </c>
      <c r="B68" t="s">
        <v>37</v>
      </c>
    </row>
    <row r="69" spans="1:4" x14ac:dyDescent="0.2">
      <c r="A69">
        <f t="shared" si="0"/>
        <v>53</v>
      </c>
      <c r="B69" t="s">
        <v>38</v>
      </c>
    </row>
    <row r="70" spans="1:4" x14ac:dyDescent="0.2">
      <c r="A70">
        <f t="shared" si="0"/>
        <v>54</v>
      </c>
      <c r="B70" t="s">
        <v>47</v>
      </c>
    </row>
    <row r="71" spans="1:4" x14ac:dyDescent="0.2">
      <c r="A71">
        <f>A70+1</f>
        <v>55</v>
      </c>
      <c r="B71" t="s">
        <v>43</v>
      </c>
    </row>
    <row r="72" spans="1:4" x14ac:dyDescent="0.2">
      <c r="A72">
        <f t="shared" si="0"/>
        <v>56</v>
      </c>
      <c r="B72" t="s">
        <v>42</v>
      </c>
    </row>
    <row r="73" spans="1:4" x14ac:dyDescent="0.2">
      <c r="A73">
        <f t="shared" si="0"/>
        <v>57</v>
      </c>
      <c r="B73" t="s">
        <v>45</v>
      </c>
    </row>
    <row r="74" spans="1:4" x14ac:dyDescent="0.2">
      <c r="A74">
        <f t="shared" si="0"/>
        <v>58</v>
      </c>
      <c r="B74" t="s">
        <v>48</v>
      </c>
    </row>
    <row r="75" spans="1:4" x14ac:dyDescent="0.2">
      <c r="A75">
        <f t="shared" si="0"/>
        <v>59</v>
      </c>
    </row>
    <row r="76" spans="1:4" x14ac:dyDescent="0.2">
      <c r="A76">
        <f t="shared" si="0"/>
        <v>60</v>
      </c>
    </row>
    <row r="77" spans="1:4" x14ac:dyDescent="0.2">
      <c r="A77">
        <f t="shared" si="0"/>
        <v>61</v>
      </c>
    </row>
    <row r="78" spans="1:4" x14ac:dyDescent="0.2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19" workbookViewId="0">
      <selection activeCell="S16" sqref="S16"/>
    </sheetView>
  </sheetViews>
  <sheetFormatPr baseColWidth="10" defaultRowHeight="15" x14ac:dyDescent="0.2"/>
  <sheetData>
    <row r="1" spans="1:18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8" x14ac:dyDescent="0.2">
      <c r="A8" s="11"/>
      <c r="B8" s="11"/>
      <c r="C8" s="11"/>
      <c r="D8" s="69" t="s">
        <v>49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11"/>
    </row>
    <row r="9" spans="1:18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6" thickTop="1" x14ac:dyDescent="0.2">
      <c r="A11" s="13"/>
      <c r="B11" s="14"/>
      <c r="C11" s="14" t="s">
        <v>28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26</v>
      </c>
      <c r="N11" s="16">
        <v>27</v>
      </c>
      <c r="O11" s="16" t="s">
        <v>50</v>
      </c>
      <c r="P11" s="17">
        <v>30</v>
      </c>
      <c r="Q11" s="11"/>
    </row>
    <row r="12" spans="1:18" x14ac:dyDescent="0.2">
      <c r="A12" s="18"/>
      <c r="B12" s="19"/>
      <c r="C12" s="19" t="s">
        <v>51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16</v>
      </c>
      <c r="N12" s="21">
        <v>17</v>
      </c>
      <c r="O12" s="21" t="s">
        <v>50</v>
      </c>
      <c r="P12" s="22">
        <v>20</v>
      </c>
      <c r="Q12" s="11"/>
    </row>
    <row r="13" spans="1:18" ht="17" thickBot="1" x14ac:dyDescent="0.25">
      <c r="A13" s="23" t="s">
        <v>29</v>
      </c>
      <c r="B13" s="24" t="s">
        <v>30</v>
      </c>
      <c r="C13" s="25" t="s">
        <v>52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 x14ac:dyDescent="0.2">
      <c r="A14" s="29">
        <v>1</v>
      </c>
      <c r="B14" s="30" t="s">
        <v>53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 x14ac:dyDescent="0.2">
      <c r="A27" s="37">
        <f t="shared" si="0"/>
        <v>14</v>
      </c>
      <c r="B27" s="38" t="s">
        <v>54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 x14ac:dyDescent="0.2">
      <c r="A28" s="37">
        <f t="shared" si="0"/>
        <v>15</v>
      </c>
      <c r="B28" s="38" t="s">
        <v>55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 x14ac:dyDescent="0.2">
      <c r="A29" s="37">
        <f t="shared" si="0"/>
        <v>16</v>
      </c>
      <c r="B29" s="38" t="s">
        <v>56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6" thickBot="1" x14ac:dyDescent="0.25">
      <c r="A30" s="43">
        <f t="shared" si="0"/>
        <v>17</v>
      </c>
      <c r="B30" s="44" t="s">
        <v>57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6" thickTop="1" x14ac:dyDescent="0.2">
      <c r="A33" s="50"/>
      <c r="B33" s="51" t="s">
        <v>58</v>
      </c>
      <c r="C33" s="52"/>
      <c r="D33" s="53"/>
      <c r="E33" s="54"/>
      <c r="F33" s="54"/>
      <c r="G33" s="54"/>
      <c r="H33" s="54" t="s">
        <v>59</v>
      </c>
      <c r="I33" s="54"/>
      <c r="J33" s="54"/>
      <c r="K33" s="54" t="s">
        <v>60</v>
      </c>
      <c r="L33" s="54"/>
      <c r="M33" s="54" t="s">
        <v>61</v>
      </c>
      <c r="N33" s="54"/>
      <c r="O33" s="54"/>
      <c r="P33" s="55"/>
      <c r="Q33" s="35"/>
      <c r="R33" s="36"/>
    </row>
    <row r="34" spans="1:18" x14ac:dyDescent="0.2">
      <c r="A34" s="37"/>
      <c r="B34" s="38" t="s">
        <v>62</v>
      </c>
      <c r="C34" s="39"/>
      <c r="D34" s="40"/>
      <c r="E34" s="41"/>
      <c r="F34" s="41"/>
      <c r="G34" s="41"/>
      <c r="H34" s="41"/>
      <c r="I34" s="41"/>
      <c r="J34" s="41" t="s">
        <v>63</v>
      </c>
      <c r="K34" s="41"/>
      <c r="L34" s="41"/>
      <c r="M34" s="41"/>
      <c r="N34" s="41"/>
      <c r="O34" s="56" t="s">
        <v>64</v>
      </c>
      <c r="P34" s="42"/>
      <c r="Q34" s="35"/>
      <c r="R34" s="36"/>
    </row>
    <row r="35" spans="1:18" ht="16" thickBot="1" x14ac:dyDescent="0.25">
      <c r="A35" s="43"/>
      <c r="B35" s="44" t="s">
        <v>31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x14ac:dyDescent="0.2">
      <c r="A39" s="11"/>
      <c r="B39" s="57" t="s">
        <v>65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x14ac:dyDescent="0.2">
      <c r="A40" s="11"/>
      <c r="B40" s="57" t="s">
        <v>66</v>
      </c>
      <c r="D40" s="11"/>
      <c r="E40" s="11"/>
      <c r="F40" s="11"/>
      <c r="G40" s="11"/>
      <c r="H40" s="11"/>
      <c r="I40" s="11"/>
      <c r="J40" s="11"/>
      <c r="K40" s="58" t="s">
        <v>67</v>
      </c>
      <c r="L40" s="11"/>
      <c r="M40" s="11"/>
      <c r="N40" s="11"/>
      <c r="O40" s="11"/>
      <c r="P40" s="11"/>
      <c r="Q40" s="11"/>
    </row>
    <row r="41" spans="1:18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 x14ac:dyDescent="0.2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workbookViewId="0">
      <selection sqref="A1:Q10"/>
    </sheetView>
  </sheetViews>
  <sheetFormatPr baseColWidth="10" defaultRowHeight="15" x14ac:dyDescent="0.2"/>
  <sheetData>
    <row r="1" spans="1:16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8" x14ac:dyDescent="0.2">
      <c r="A8" s="11"/>
      <c r="B8" s="11"/>
      <c r="C8" s="11"/>
      <c r="D8" s="69" t="s">
        <v>68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</row>
    <row r="9" spans="1:16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6" thickTop="1" x14ac:dyDescent="0.2">
      <c r="A11" s="13"/>
      <c r="B11" s="14"/>
      <c r="C11" s="14" t="s">
        <v>69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35</v>
      </c>
      <c r="N11" s="16">
        <v>36</v>
      </c>
      <c r="O11" s="16" t="s">
        <v>50</v>
      </c>
      <c r="P11" s="17">
        <v>39</v>
      </c>
    </row>
    <row r="12" spans="1:16" x14ac:dyDescent="0.2">
      <c r="A12" s="18"/>
      <c r="B12" s="19"/>
      <c r="C12" s="19" t="s">
        <v>70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26</v>
      </c>
      <c r="N12" s="21">
        <v>27</v>
      </c>
      <c r="O12" s="21" t="s">
        <v>50</v>
      </c>
      <c r="P12" s="22">
        <v>30</v>
      </c>
    </row>
    <row r="13" spans="1:16" ht="17" thickBot="1" x14ac:dyDescent="0.25">
      <c r="A13" s="23" t="s">
        <v>71</v>
      </c>
      <c r="B13" s="24" t="s">
        <v>72</v>
      </c>
      <c r="C13" s="25" t="s">
        <v>73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 x14ac:dyDescent="0.2">
      <c r="A14" s="29">
        <v>1</v>
      </c>
      <c r="B14" s="59" t="s">
        <v>74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 x14ac:dyDescent="0.2">
      <c r="A27" s="37">
        <f t="shared" si="0"/>
        <v>14</v>
      </c>
      <c r="B27" s="38" t="s">
        <v>75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 x14ac:dyDescent="0.2">
      <c r="A28" s="37">
        <f t="shared" si="0"/>
        <v>15</v>
      </c>
      <c r="B28" s="60" t="s">
        <v>76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 x14ac:dyDescent="0.2">
      <c r="A29" s="37">
        <f t="shared" si="0"/>
        <v>16</v>
      </c>
      <c r="B29" s="38" t="s">
        <v>77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6" thickBot="1" x14ac:dyDescent="0.25">
      <c r="A30" s="43">
        <f t="shared" si="0"/>
        <v>17</v>
      </c>
      <c r="B30" s="44" t="s">
        <v>78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6" thickTop="1" x14ac:dyDescent="0.2">
      <c r="A33" s="50"/>
      <c r="B33" s="51" t="s">
        <v>79</v>
      </c>
      <c r="C33" s="52"/>
      <c r="D33" s="53"/>
      <c r="E33" s="54"/>
      <c r="F33" s="54"/>
      <c r="G33" s="54"/>
      <c r="H33" s="54" t="s">
        <v>80</v>
      </c>
      <c r="I33" s="54"/>
      <c r="J33" s="54"/>
      <c r="K33" s="54" t="s">
        <v>81</v>
      </c>
      <c r="L33" s="54"/>
      <c r="M33" s="54" t="s">
        <v>82</v>
      </c>
      <c r="N33" s="54"/>
      <c r="O33" s="54"/>
      <c r="P33" s="55"/>
    </row>
    <row r="34" spans="1:16" x14ac:dyDescent="0.2">
      <c r="A34" s="37"/>
      <c r="B34" s="38" t="s">
        <v>83</v>
      </c>
      <c r="C34" s="39"/>
      <c r="D34" s="40"/>
      <c r="E34" s="41"/>
      <c r="F34" s="41"/>
      <c r="G34" s="41"/>
      <c r="H34" s="41"/>
      <c r="I34" s="41"/>
      <c r="J34" s="41" t="s">
        <v>84</v>
      </c>
      <c r="K34" s="41"/>
      <c r="L34" s="41"/>
      <c r="M34" s="41"/>
      <c r="N34" s="41"/>
      <c r="O34" s="56" t="s">
        <v>85</v>
      </c>
      <c r="P34" s="42"/>
    </row>
    <row r="35" spans="1:16" ht="16" thickBot="1" x14ac:dyDescent="0.25">
      <c r="A35" s="43"/>
      <c r="B35" s="44" t="s">
        <v>86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x14ac:dyDescent="0.2">
      <c r="A39" s="11"/>
      <c r="B39" s="57" t="s">
        <v>87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2">
      <c r="A40" s="11"/>
      <c r="D40" s="11"/>
      <c r="E40" s="11"/>
      <c r="F40" s="11"/>
      <c r="G40" s="11"/>
      <c r="H40" s="11"/>
      <c r="I40" s="11"/>
      <c r="J40" s="11"/>
      <c r="K40" s="58" t="s">
        <v>88</v>
      </c>
      <c r="L40" s="11"/>
      <c r="M40" s="11"/>
      <c r="N40" s="11"/>
      <c r="O40" s="11"/>
      <c r="P40" s="11"/>
    </row>
    <row r="41" spans="1:16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 x14ac:dyDescent="0.2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7" workbookViewId="0">
      <selection activeCell="B26" sqref="B26"/>
    </sheetView>
  </sheetViews>
  <sheetFormatPr baseColWidth="10" defaultColWidth="9.1640625" defaultRowHeight="15" x14ac:dyDescent="0.2"/>
  <cols>
    <col min="2" max="2" width="29.5" bestFit="1" customWidth="1"/>
  </cols>
  <sheetData>
    <row r="7" spans="1:9" ht="24" x14ac:dyDescent="0.3">
      <c r="B7" s="1" t="s">
        <v>16</v>
      </c>
    </row>
    <row r="9" spans="1:9" ht="16" thickBot="1" x14ac:dyDescent="0.25"/>
    <row r="10" spans="1:9" x14ac:dyDescent="0.2">
      <c r="A10" s="2" t="s">
        <v>17</v>
      </c>
      <c r="B10" s="3"/>
      <c r="G10" s="4"/>
      <c r="H10" s="2" t="s">
        <v>18</v>
      </c>
      <c r="I10" s="3"/>
    </row>
    <row r="11" spans="1:9" x14ac:dyDescent="0.2">
      <c r="A11" s="5" t="s">
        <v>19</v>
      </c>
      <c r="B11" s="6" t="s">
        <v>20</v>
      </c>
      <c r="H11" s="5" t="s">
        <v>21</v>
      </c>
      <c r="I11" s="7"/>
    </row>
    <row r="12" spans="1:9" ht="16" thickBot="1" x14ac:dyDescent="0.25">
      <c r="A12" s="8"/>
      <c r="B12" s="9"/>
      <c r="H12" s="8" t="s">
        <v>22</v>
      </c>
      <c r="I12" s="9"/>
    </row>
    <row r="15" spans="1:9" ht="21" x14ac:dyDescent="0.25">
      <c r="B15" s="64" t="s">
        <v>89</v>
      </c>
      <c r="C15" s="64"/>
      <c r="D15" s="64"/>
    </row>
    <row r="18" spans="1:4" x14ac:dyDescent="0.2">
      <c r="A18" s="10" t="s">
        <v>14</v>
      </c>
      <c r="B18" s="10" t="s">
        <v>15</v>
      </c>
      <c r="C18" s="10" t="s">
        <v>3</v>
      </c>
      <c r="D18" s="10" t="s">
        <v>23</v>
      </c>
    </row>
    <row r="19" spans="1:4" x14ac:dyDescent="0.2">
      <c r="A19" t="s">
        <v>96</v>
      </c>
      <c r="B19" t="s">
        <v>11</v>
      </c>
    </row>
    <row r="20" spans="1:4" x14ac:dyDescent="0.2">
      <c r="B20" t="s">
        <v>98</v>
      </c>
    </row>
    <row r="21" spans="1:4" x14ac:dyDescent="0.2">
      <c r="B21" t="s">
        <v>12</v>
      </c>
    </row>
    <row r="22" spans="1:4" x14ac:dyDescent="0.2">
      <c r="B22" t="s">
        <v>13</v>
      </c>
    </row>
    <row r="23" spans="1:4" x14ac:dyDescent="0.2">
      <c r="B23" t="s">
        <v>97</v>
      </c>
    </row>
    <row r="24" spans="1:4" x14ac:dyDescent="0.2">
      <c r="B24" t="s">
        <v>99</v>
      </c>
    </row>
    <row r="25" spans="1:4" x14ac:dyDescent="0.2">
      <c r="B25" t="s">
        <v>90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2025-09-27T20:04:43Z</dcterms:modified>
</cp:coreProperties>
</file>