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defaultThemeVersion="124226"/>
  <xr:revisionPtr revIDLastSave="0" documentId="13_ncr:1_{68133C3C-F1AB-422F-A3E8-7EA736020D0F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Checklist" sheetId="1" r:id="rId1"/>
    <sheet name="Projekt Plan V1.0 (deut.)" sheetId="6" r:id="rId2"/>
    <sheet name="Project Plan V1.0 (eng.)" sheetId="5" r:id="rId3"/>
    <sheet name="Resulting objects" sheetId="2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6" l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B53" i="1" l="1"/>
  <c r="A16" i="1" l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l="1"/>
  <c r="A28" i="1" s="1"/>
  <c r="A29" i="1" s="1"/>
  <c r="A30" i="1" s="1"/>
  <c r="A31" i="1" s="1"/>
  <c r="A32" i="1" s="1"/>
  <c r="A15" i="5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33" i="1" l="1"/>
  <c r="A34" i="1" s="1"/>
  <c r="A35" i="1" s="1"/>
  <c r="A36" i="1" s="1"/>
  <c r="A37" i="1" l="1"/>
  <c r="A39" i="1" s="1"/>
  <c r="A40" i="1" s="1"/>
  <c r="A41" i="1" s="1"/>
  <c r="A42" i="1" s="1"/>
  <c r="A43" i="1" s="1"/>
  <c r="A44" i="1" s="1"/>
  <c r="A45" i="1" s="1"/>
  <c r="A46" i="1" s="1"/>
  <c r="A47" i="1" l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/>
  <c r="A59" i="1" s="1"/>
  <c r="A60" i="1" s="1"/>
  <c r="A61" i="1" s="1"/>
  <c r="A62" i="1" l="1"/>
  <c r="A63" i="1" s="1"/>
  <c r="A64" i="1" s="1"/>
  <c r="A65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</calcChain>
</file>

<file path=xl/sharedStrings.xml><?xml version="1.0" encoding="utf-8"?>
<sst xmlns="http://schemas.openxmlformats.org/spreadsheetml/2006/main" count="219" uniqueCount="164">
  <si>
    <t>Checklist</t>
  </si>
  <si>
    <t>No.</t>
  </si>
  <si>
    <t>Topic</t>
  </si>
  <si>
    <t>done</t>
  </si>
  <si>
    <t>install TeXStudio</t>
  </si>
  <si>
    <t>install Sumatrapdf</t>
  </si>
  <si>
    <t>test template poster</t>
  </si>
  <si>
    <t>configure TeXStudio</t>
  </si>
  <si>
    <t>test template Presentations/template</t>
  </si>
  <si>
    <t>install doxygen</t>
  </si>
  <si>
    <t>read ProjectManagement/BestPractice.pdf</t>
  </si>
  <si>
    <t>List of keywords</t>
  </si>
  <si>
    <t>bib file</t>
  </si>
  <si>
    <t>Bibliography in the report</t>
  </si>
  <si>
    <t>Subtask</t>
  </si>
  <si>
    <t>Resulting objects</t>
  </si>
  <si>
    <t>Name, Vorname</t>
  </si>
  <si>
    <t>cc: Firmenbetreuer</t>
  </si>
  <si>
    <t>Matr.-Nr</t>
  </si>
  <si>
    <t xml:space="preserve">      Projektpartner</t>
  </si>
  <si>
    <t xml:space="preserve">      Erstprüfer</t>
  </si>
  <si>
    <t>date</t>
  </si>
  <si>
    <t>literature research</t>
  </si>
  <si>
    <t>presentation "Introduction"</t>
  </si>
  <si>
    <t>project plan</t>
  </si>
  <si>
    <t>presentation "Project Plan"</t>
  </si>
  <si>
    <t>update project plan</t>
  </si>
  <si>
    <t>fulfill the list "Resulting Objects"</t>
  </si>
  <si>
    <t>update the list "Resulting Objects"</t>
  </si>
  <si>
    <t>presentation "Project Plan" II</t>
  </si>
  <si>
    <t>check: all website as pdf-file?</t>
  </si>
  <si>
    <t>check: all pdfs in the folder Documents?</t>
  </si>
  <si>
    <t>check: all images okay?</t>
  </si>
  <si>
    <t>First two weeks</t>
  </si>
  <si>
    <t>Processing the project</t>
  </si>
  <si>
    <t>Final stage</t>
  </si>
  <si>
    <t>print poster</t>
  </si>
  <si>
    <t>check: poster?</t>
  </si>
  <si>
    <t>rename all tex files along the project plan</t>
  </si>
  <si>
    <t>check: GitHub project</t>
  </si>
  <si>
    <t>delete or add additional TeX or Python projects, e.g. Manual</t>
  </si>
  <si>
    <t>check spelling</t>
  </si>
  <si>
    <t>ready minimal one day before deadline</t>
  </si>
  <si>
    <t>Dauer</t>
  </si>
  <si>
    <t>Week of Year</t>
  </si>
  <si>
    <t>Project Week</t>
  </si>
  <si>
    <t>SP No.</t>
  </si>
  <si>
    <t>SP's Title</t>
  </si>
  <si>
    <t>Duration</t>
  </si>
  <si>
    <t>Vacation / holidays</t>
  </si>
  <si>
    <t>Enrolement / Submission</t>
  </si>
  <si>
    <t>Meetings</t>
  </si>
  <si>
    <t>SP   =  Sub-project</t>
  </si>
  <si>
    <t>List of all Resulting Objects</t>
  </si>
  <si>
    <t>…</t>
  </si>
  <si>
    <t>update every day!</t>
  </si>
  <si>
    <t>fulfill author.xlsx</t>
  </si>
  <si>
    <t>Install TeXLive</t>
  </si>
  <si>
    <t>test template report</t>
  </si>
  <si>
    <t>presentation "Literature"</t>
  </si>
  <si>
    <t>Literature</t>
  </si>
  <si>
    <t>pdf documents</t>
  </si>
  <si>
    <t>Brief description of the sources</t>
  </si>
  <si>
    <t>quality check</t>
  </si>
  <si>
    <t>bibliography</t>
  </si>
  <si>
    <t>pdf files</t>
  </si>
  <si>
    <t>challenges with citations</t>
  </si>
  <si>
    <t>write n introduction with citations</t>
  </si>
  <si>
    <t>Readme.md</t>
  </si>
  <si>
    <t>readme.md</t>
  </si>
  <si>
    <t>domain knowledge</t>
  </si>
  <si>
    <t>algorithm</t>
  </si>
  <si>
    <t>tools</t>
  </si>
  <si>
    <t>methodology</t>
  </si>
  <si>
    <t xml:space="preserve">database </t>
  </si>
  <si>
    <t>database description</t>
  </si>
  <si>
    <t>Homework "John Ousterhout"</t>
  </si>
  <si>
    <t>Evaluation</t>
  </si>
  <si>
    <t>Validation</t>
  </si>
  <si>
    <t>updated Project plan</t>
  </si>
  <si>
    <t>updated README.md</t>
  </si>
  <si>
    <t>updated Resulting objects</t>
  </si>
  <si>
    <t>Homework "UpdatedLiterature"</t>
  </si>
  <si>
    <t>Development structure</t>
  </si>
  <si>
    <t>Manual</t>
  </si>
  <si>
    <t>List of Material</t>
  </si>
  <si>
    <t>database discussion</t>
  </si>
  <si>
    <t>From Development to Deployment</t>
  </si>
  <si>
    <t>Development Environment</t>
  </si>
  <si>
    <t>Flow Chart</t>
  </si>
  <si>
    <t>tests</t>
  </si>
  <si>
    <t>25.9.2025</t>
  </si>
  <si>
    <t>28.9.2025</t>
  </si>
  <si>
    <t>2.10.2025</t>
  </si>
  <si>
    <t>6.10.2025</t>
  </si>
  <si>
    <t>13.10.2025</t>
  </si>
  <si>
    <t>20.10.2025</t>
  </si>
  <si>
    <t>27.10.2025</t>
  </si>
  <si>
    <t>03.11.2025</t>
  </si>
  <si>
    <t>10.11.2025</t>
  </si>
  <si>
    <t>17.11.2025</t>
  </si>
  <si>
    <t>Car License Plate Detection with Jetson Nano</t>
  </si>
  <si>
    <t xml:space="preserve">Object Detection with Jetson Nano </t>
  </si>
  <si>
    <t>Name, Vorname:</t>
  </si>
  <si>
    <t>Gautam Ramesh</t>
  </si>
  <si>
    <t xml:space="preserve">Car License Plate Detection with Jetson Nano </t>
  </si>
  <si>
    <t>Software Installation  - Latex, SumatraPDF, Zotero, doxygen</t>
  </si>
  <si>
    <t>Information Activity - Best Practices, Preliminary Literature Review</t>
  </si>
  <si>
    <t>Literature Research</t>
  </si>
  <si>
    <t>Literature and Introduction Presentations</t>
  </si>
  <si>
    <t>Project Plan</t>
  </si>
  <si>
    <t xml:space="preserve">Manual </t>
  </si>
  <si>
    <t>Domain Knowledge Research</t>
  </si>
  <si>
    <t>Hardware and Software Setup</t>
  </si>
  <si>
    <t>Testing</t>
  </si>
  <si>
    <t>Database Information Activity</t>
  </si>
  <si>
    <t>Development Structure</t>
  </si>
  <si>
    <t>Development Implementation</t>
  </si>
  <si>
    <t>Deployment</t>
  </si>
  <si>
    <t>Testing and Debugging</t>
  </si>
  <si>
    <t>Presentations and Review</t>
  </si>
  <si>
    <t>Christmas</t>
  </si>
  <si>
    <t>Review - 06.10.2025</t>
  </si>
  <si>
    <t>Review - 13.10.2025</t>
  </si>
  <si>
    <t>Review - 20.10.2025</t>
  </si>
  <si>
    <t>Review - 27.10.2025</t>
  </si>
  <si>
    <t>22.12.2025</t>
  </si>
  <si>
    <t>Professor Meeting - 15.12.2025</t>
  </si>
  <si>
    <t>Professor Meeting - 01.12.2025</t>
  </si>
  <si>
    <t>Review - 08.12.2025</t>
  </si>
  <si>
    <t>Review - 24.11.2025</t>
  </si>
  <si>
    <t>Review - 17.11.2025</t>
  </si>
  <si>
    <t>Professor Meeting - 10.11.2025</t>
  </si>
  <si>
    <t>29.09.2025</t>
  </si>
  <si>
    <t>Review - 03.10.2025</t>
  </si>
  <si>
    <t>Informationsaktivität – Best Practices, Vorläufige Literaturrecherche</t>
  </si>
  <si>
    <t>Softwareinstallation – LaTeX, SumatraPDF, Zotero, Doxygen</t>
  </si>
  <si>
    <t>Literaturrecherche</t>
  </si>
  <si>
    <t>Literatur- und Einführungsvorträge</t>
  </si>
  <si>
    <t>Projektplan</t>
  </si>
  <si>
    <t>Handbuch</t>
  </si>
  <si>
    <t>Fachliche (Domain) Wissensrecherche</t>
  </si>
  <si>
    <t>Hardware- und Softwareeinrichtung</t>
  </si>
  <si>
    <t>Datenbank-Informationsaktivität</t>
  </si>
  <si>
    <t>Entwicklungsstruktur</t>
  </si>
  <si>
    <t>Entwicklungsimplementierung</t>
  </si>
  <si>
    <t>Bereitstellung (Deployment)</t>
  </si>
  <si>
    <t>Testen und Debugging</t>
  </si>
  <si>
    <t>Präsentationen und Review</t>
  </si>
  <si>
    <t>Testing / Tests</t>
  </si>
  <si>
    <t>Weihnachten</t>
  </si>
  <si>
    <t>Kfz-Kennzeichenerkennung mit dem Jetson Nano</t>
  </si>
  <si>
    <t>Kalenderwoche</t>
  </si>
  <si>
    <t>Projektwoche</t>
  </si>
  <si>
    <t>SP's Titel</t>
  </si>
  <si>
    <t>Professorenbesprechung - 10.11.2025</t>
  </si>
  <si>
    <t>Professorenbesprechung - 01.12.2025</t>
  </si>
  <si>
    <t>Professorenbesprechung- 15.12.2025</t>
  </si>
  <si>
    <t>`</t>
  </si>
  <si>
    <t>24.11.2025</t>
  </si>
  <si>
    <t>7.12.2025</t>
  </si>
  <si>
    <t>01.12.2025</t>
  </si>
  <si>
    <t>14.12.2025</t>
  </si>
  <si>
    <t>21.12.2025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</si>
</sst>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name val="Tahoma"/>
      <family val="2"/>
    </font>
    <font>
      <b/>
      <sz val="14"/>
      <name val="Tahoma"/>
      <family val="2"/>
    </font>
    <font>
      <sz val="10"/>
      <name val="Tahoma"/>
      <family val="2"/>
    </font>
    <font>
      <i/>
      <sz val="8"/>
      <name val="Tahoma"/>
      <family val="2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hair">
        <color indexed="64"/>
      </top>
      <bottom style="thick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hair">
        <color indexed="64"/>
      </bottom>
      <diagonal/>
    </border>
    <border>
      <left style="thin">
        <color indexed="64"/>
      </left>
      <right/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 style="thick">
        <color indexed="64"/>
      </top>
      <bottom style="hair">
        <color indexed="64"/>
      </bottom>
      <diagonal/>
    </border>
    <border>
      <left/>
      <right style="dashed">
        <color indexed="64"/>
      </right>
      <top style="hair">
        <color indexed="64"/>
      </top>
      <bottom style="hair">
        <color indexed="64"/>
      </bottom>
      <diagonal/>
    </border>
    <border>
      <left/>
      <right style="dashed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right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vertical="center"/>
    </xf>
    <xf numFmtId="0" fontId="6" fillId="0" borderId="38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5" xfId="0" applyFont="1" applyBorder="1" applyAlignment="1">
      <alignment horizontal="right" vertic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3" fillId="0" borderId="0" xfId="0" applyFont="1"/>
    <xf numFmtId="0" fontId="0" fillId="2" borderId="0" xfId="0" applyFill="1"/>
    <xf numFmtId="0" fontId="0" fillId="3" borderId="0" xfId="0" applyFill="1"/>
    <xf numFmtId="14" fontId="0" fillId="0" borderId="0" xfId="0" applyNumberFormat="1"/>
    <xf numFmtId="14" fontId="0" fillId="0" borderId="0" xfId="0" applyNumberFormat="1" applyAlignment="1">
      <alignment horizontal="left"/>
    </xf>
    <xf numFmtId="0" fontId="9" fillId="0" borderId="0" xfId="0" applyFont="1" applyAlignment="1">
      <alignment horizontal="left" vertical="center" readingOrder="1"/>
    </xf>
    <xf numFmtId="0" fontId="6" fillId="0" borderId="34" xfId="0" applyFont="1" applyBorder="1" applyAlignment="1">
      <alignment horizontal="center" vertical="center" wrapText="1"/>
    </xf>
    <xf numFmtId="0" fontId="0" fillId="0" borderId="40" xfId="0" applyBorder="1" applyAlignment="1">
      <alignment horizontal="right"/>
    </xf>
    <xf numFmtId="0" fontId="0" fillId="0" borderId="36" xfId="0" applyBorder="1" applyAlignment="1">
      <alignment horizontal="right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0" fontId="6" fillId="0" borderId="24" xfId="0" applyFont="1" applyBorder="1" applyAlignment="1">
      <alignment horizontal="center" vertical="center"/>
    </xf>
    <xf numFmtId="0" fontId="0" fillId="0" borderId="39" xfId="0" applyBorder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 vertical="center" textRotation="180"/>
    </xf>
    <xf numFmtId="0" fontId="0" fillId="0" borderId="0" xfId="0" applyAlignment="1">
      <alignment horizontal="center" vertical="center" textRotation="180"/>
    </xf>
    <xf numFmtId="0" fontId="0" fillId="2" borderId="0" xfId="0" applyFill="1" applyAlignment="1">
      <alignment horizontal="center" textRotation="180"/>
    </xf>
    <xf numFmtId="0" fontId="0" fillId="0" borderId="0" xfId="0" applyAlignment="1">
      <alignment horizontal="center" textRotation="180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44841</xdr:colOff>
      <xdr:row>14</xdr:row>
      <xdr:rowOff>38100</xdr:rowOff>
    </xdr:from>
    <xdr:to>
      <xdr:col>3</xdr:col>
      <xdr:colOff>281940</xdr:colOff>
      <xdr:row>18</xdr:row>
      <xdr:rowOff>121920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9B00E387-5D89-4B39-AF62-9D28F543ABDD}"/>
            </a:ext>
          </a:extLst>
        </xdr:cNvPr>
        <xdr:cNvSpPr txBox="1">
          <a:spLocks noChangeArrowheads="1"/>
        </xdr:cNvSpPr>
      </xdr:nvSpPr>
      <xdr:spPr bwMode="auto">
        <a:xfrm>
          <a:off x="5424561" y="2689860"/>
          <a:ext cx="237099" cy="81534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en-IN"/>
            <a:t>Einschreibung</a:t>
          </a:r>
          <a:endParaRPr lang="de-DE"/>
        </a:p>
      </xdr:txBody>
    </xdr:sp>
    <xdr:clientData/>
  </xdr:twoCellAnchor>
  <xdr:twoCellAnchor>
    <xdr:from>
      <xdr:col>15</xdr:col>
      <xdr:colOff>875726</xdr:colOff>
      <xdr:row>13</xdr:row>
      <xdr:rowOff>47625</xdr:rowOff>
    </xdr:from>
    <xdr:to>
      <xdr:col>15</xdr:col>
      <xdr:colOff>875726</xdr:colOff>
      <xdr:row>31</xdr:row>
      <xdr:rowOff>28575</xdr:rowOff>
    </xdr:to>
    <xdr:sp macro="" textlink="">
      <xdr:nvSpPr>
        <xdr:cNvPr id="3" name="Line 4">
          <a:extLst>
            <a:ext uri="{FF2B5EF4-FFF2-40B4-BE49-F238E27FC236}">
              <a16:creationId xmlns:a16="http://schemas.microsoft.com/office/drawing/2014/main" id="{F1638429-E19A-4D3A-88D4-BDA5C3B687AE}"/>
            </a:ext>
          </a:extLst>
        </xdr:cNvPr>
        <xdr:cNvSpPr>
          <a:spLocks noChangeShapeType="1"/>
        </xdr:cNvSpPr>
      </xdr:nvSpPr>
      <xdr:spPr bwMode="auto">
        <a:xfrm>
          <a:off x="16351946" y="2516505"/>
          <a:ext cx="0" cy="328803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38122</xdr:colOff>
      <xdr:row>13</xdr:row>
      <xdr:rowOff>47625</xdr:rowOff>
    </xdr:from>
    <xdr:to>
      <xdr:col>3</xdr:col>
      <xdr:colOff>38122</xdr:colOff>
      <xdr:row>31</xdr:row>
      <xdr:rowOff>28575</xdr:rowOff>
    </xdr:to>
    <xdr:sp macro="" textlink="">
      <xdr:nvSpPr>
        <xdr:cNvPr id="4" name="Line 5">
          <a:extLst>
            <a:ext uri="{FF2B5EF4-FFF2-40B4-BE49-F238E27FC236}">
              <a16:creationId xmlns:a16="http://schemas.microsoft.com/office/drawing/2014/main" id="{059670A1-CDF0-46B5-A7EE-1E447D33594F}"/>
            </a:ext>
          </a:extLst>
        </xdr:cNvPr>
        <xdr:cNvSpPr>
          <a:spLocks noChangeShapeType="1"/>
        </xdr:cNvSpPr>
      </xdr:nvSpPr>
      <xdr:spPr bwMode="auto">
        <a:xfrm>
          <a:off x="5417842" y="2516505"/>
          <a:ext cx="0" cy="328803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IN"/>
        </a:p>
      </xdr:txBody>
    </xdr:sp>
    <xdr:clientData/>
  </xdr:twoCellAnchor>
  <xdr:twoCellAnchor>
    <xdr:from>
      <xdr:col>15</xdr:col>
      <xdr:colOff>571500</xdr:colOff>
      <xdr:row>13</xdr:row>
      <xdr:rowOff>7620</xdr:rowOff>
    </xdr:from>
    <xdr:to>
      <xdr:col>15</xdr:col>
      <xdr:colOff>838201</xdr:colOff>
      <xdr:row>18</xdr:row>
      <xdr:rowOff>15240</xdr:rowOff>
    </xdr:to>
    <xdr:sp macro="" textlink="">
      <xdr:nvSpPr>
        <xdr:cNvPr id="5" name="Text Box 13">
          <a:extLst>
            <a:ext uri="{FF2B5EF4-FFF2-40B4-BE49-F238E27FC236}">
              <a16:creationId xmlns:a16="http://schemas.microsoft.com/office/drawing/2014/main" id="{6330AA30-BEC9-4FEA-90AE-FAB9176D5170}"/>
            </a:ext>
          </a:extLst>
        </xdr:cNvPr>
        <xdr:cNvSpPr txBox="1">
          <a:spLocks noChangeArrowheads="1"/>
        </xdr:cNvSpPr>
      </xdr:nvSpPr>
      <xdr:spPr bwMode="auto">
        <a:xfrm>
          <a:off x="16047720" y="2476500"/>
          <a:ext cx="266701" cy="92202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en-IN" sz="1000"/>
            <a:t>Einreichung</a:t>
          </a:r>
          <a:endParaRPr lang="de-DE" sz="1000" b="0" i="0" u="none" strike="noStrike" baseline="0">
            <a:solidFill>
              <a:srgbClr val="000000"/>
            </a:solidFill>
            <a:latin typeface="Tahoma"/>
            <a:ea typeface="Tahoma"/>
            <a:cs typeface="Tahoma"/>
          </a:endParaRPr>
        </a:p>
      </xdr:txBody>
    </xdr:sp>
    <xdr:clientData/>
  </xdr:twoCellAnchor>
  <xdr:twoCellAnchor>
    <xdr:from>
      <xdr:col>15</xdr:col>
      <xdr:colOff>55686</xdr:colOff>
      <xdr:row>26</xdr:row>
      <xdr:rowOff>175843</xdr:rowOff>
    </xdr:from>
    <xdr:to>
      <xdr:col>16</xdr:col>
      <xdr:colOff>3517</xdr:colOff>
      <xdr:row>27</xdr:row>
      <xdr:rowOff>169982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A46FC58F-ECA5-4908-9371-763057D0DF25}"/>
            </a:ext>
          </a:extLst>
        </xdr:cNvPr>
        <xdr:cNvGrpSpPr>
          <a:grpSpLocks/>
        </xdr:cNvGrpSpPr>
      </xdr:nvGrpSpPr>
      <xdr:grpSpPr bwMode="auto">
        <a:xfrm>
          <a:off x="15821466" y="5022163"/>
          <a:ext cx="877471" cy="177019"/>
          <a:chOff x="691" y="481"/>
          <a:chExt cx="144" cy="27"/>
        </a:xfrm>
      </xdr:grpSpPr>
      <xdr:sp macro="" textlink="">
        <xdr:nvSpPr>
          <xdr:cNvPr id="7" name="Rectangle 6" descr="10%">
            <a:extLst>
              <a:ext uri="{FF2B5EF4-FFF2-40B4-BE49-F238E27FC236}">
                <a16:creationId xmlns:a16="http://schemas.microsoft.com/office/drawing/2014/main" id="{C1271826-A220-B86D-7C64-654F76CB8FA7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8" name="Rectangle 7" descr="10%">
            <a:extLst>
              <a:ext uri="{FF2B5EF4-FFF2-40B4-BE49-F238E27FC236}">
                <a16:creationId xmlns:a16="http://schemas.microsoft.com/office/drawing/2014/main" id="{FA2B6062-A3E3-F811-40D7-7F2CF0EBA62A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9" name="Freeform 19">
            <a:extLst>
              <a:ext uri="{FF2B5EF4-FFF2-40B4-BE49-F238E27FC236}">
                <a16:creationId xmlns:a16="http://schemas.microsoft.com/office/drawing/2014/main" id="{62CC09BA-6445-AC62-B503-FC5724A5836D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10" name="Freeform 20">
            <a:extLst>
              <a:ext uri="{FF2B5EF4-FFF2-40B4-BE49-F238E27FC236}">
                <a16:creationId xmlns:a16="http://schemas.microsoft.com/office/drawing/2014/main" id="{0FDD2F99-D620-25DA-697C-90DDD493790F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73262</xdr:rowOff>
    </xdr:from>
    <xdr:to>
      <xdr:col>3</xdr:col>
      <xdr:colOff>768664</xdr:colOff>
      <xdr:row>13</xdr:row>
      <xdr:rowOff>118981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B096D1A0-88D4-4BDE-9427-F63D0AEB4114}"/>
            </a:ext>
          </a:extLst>
        </xdr:cNvPr>
        <xdr:cNvSpPr>
          <a:spLocks noChangeAspect="1" noChangeArrowheads="1"/>
        </xdr:cNvSpPr>
      </xdr:nvSpPr>
      <xdr:spPr bwMode="auto">
        <a:xfrm>
          <a:off x="5408295" y="2542142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12" name="Text Box 22">
          <a:extLst>
            <a:ext uri="{FF2B5EF4-FFF2-40B4-BE49-F238E27FC236}">
              <a16:creationId xmlns:a16="http://schemas.microsoft.com/office/drawing/2014/main" id="{769ECD87-3777-4892-B426-55B890FEC872}"/>
            </a:ext>
          </a:extLst>
        </xdr:cNvPr>
        <xdr:cNvSpPr txBox="1">
          <a:spLocks noChangeArrowheads="1"/>
        </xdr:cNvSpPr>
      </xdr:nvSpPr>
      <xdr:spPr bwMode="auto">
        <a:xfrm>
          <a:off x="66675" y="1135380"/>
          <a:ext cx="161163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Shubhankar Dumka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7027187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1. Sem   PVT</a:t>
          </a:r>
        </a:p>
        <a:p>
          <a:pPr algn="ctr" rtl="0">
            <a:defRPr sz="1000"/>
          </a:pPr>
          <a:endParaRPr lang="de-DE"/>
        </a:p>
      </xdr:txBody>
    </xdr:sp>
    <xdr:clientData/>
  </xdr:twoCellAnchor>
  <xdr:twoCellAnchor>
    <xdr:from>
      <xdr:col>0</xdr:col>
      <xdr:colOff>66675</xdr:colOff>
      <xdr:row>33</xdr:row>
      <xdr:rowOff>114300</xdr:rowOff>
    </xdr:from>
    <xdr:to>
      <xdr:col>1</xdr:col>
      <xdr:colOff>971550</xdr:colOff>
      <xdr:row>35</xdr:row>
      <xdr:rowOff>0</xdr:rowOff>
    </xdr:to>
    <xdr:sp macro="" textlink="">
      <xdr:nvSpPr>
        <xdr:cNvPr id="13" name="Text Box 23">
          <a:extLst>
            <a:ext uri="{FF2B5EF4-FFF2-40B4-BE49-F238E27FC236}">
              <a16:creationId xmlns:a16="http://schemas.microsoft.com/office/drawing/2014/main" id="{634FB0BB-7D8B-4540-8075-41DFBEF70C4D}"/>
            </a:ext>
          </a:extLst>
        </xdr:cNvPr>
        <xdr:cNvSpPr txBox="1">
          <a:spLocks noChangeArrowheads="1"/>
        </xdr:cNvSpPr>
      </xdr:nvSpPr>
      <xdr:spPr bwMode="auto">
        <a:xfrm>
          <a:off x="66675" y="6583680"/>
          <a:ext cx="1697355" cy="25908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1.0 / 25.09.2025</a:t>
          </a:r>
          <a:endParaRPr lang="de-DE"/>
        </a:p>
      </xdr:txBody>
    </xdr:sp>
    <xdr:clientData/>
  </xdr:twoCellAnchor>
  <xdr:twoCellAnchor>
    <xdr:from>
      <xdr:col>15</xdr:col>
      <xdr:colOff>342748</xdr:colOff>
      <xdr:row>32</xdr:row>
      <xdr:rowOff>255859</xdr:rowOff>
    </xdr:from>
    <xdr:to>
      <xdr:col>15</xdr:col>
      <xdr:colOff>523723</xdr:colOff>
      <xdr:row>32</xdr:row>
      <xdr:rowOff>379684</xdr:rowOff>
    </xdr:to>
    <xdr:sp macro="" textlink="">
      <xdr:nvSpPr>
        <xdr:cNvPr id="14" name="AutoShape 35">
          <a:extLst>
            <a:ext uri="{FF2B5EF4-FFF2-40B4-BE49-F238E27FC236}">
              <a16:creationId xmlns:a16="http://schemas.microsoft.com/office/drawing/2014/main" id="{0245A443-8486-41BD-BF87-F2C86931E290}"/>
            </a:ext>
          </a:extLst>
        </xdr:cNvPr>
        <xdr:cNvSpPr>
          <a:spLocks noChangeArrowheads="1"/>
        </xdr:cNvSpPr>
      </xdr:nvSpPr>
      <xdr:spPr bwMode="auto">
        <a:xfrm>
          <a:off x="16108528" y="6214699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638175</xdr:colOff>
      <xdr:row>0</xdr:row>
      <xdr:rowOff>66675</xdr:rowOff>
    </xdr:from>
    <xdr:to>
      <xdr:col>11</xdr:col>
      <xdr:colOff>104775</xdr:colOff>
      <xdr:row>1</xdr:row>
      <xdr:rowOff>304800</xdr:rowOff>
    </xdr:to>
    <xdr:sp macro="" textlink="">
      <xdr:nvSpPr>
        <xdr:cNvPr id="15" name="AutoShape 39">
          <a:extLst>
            <a:ext uri="{FF2B5EF4-FFF2-40B4-BE49-F238E27FC236}">
              <a16:creationId xmlns:a16="http://schemas.microsoft.com/office/drawing/2014/main" id="{D0D5A64C-37E1-4BA1-A05F-FA3776CB010E}"/>
            </a:ext>
          </a:extLst>
        </xdr:cNvPr>
        <xdr:cNvSpPr>
          <a:spLocks noChangeArrowheads="1"/>
        </xdr:cNvSpPr>
      </xdr:nvSpPr>
      <xdr:spPr bwMode="auto">
        <a:xfrm>
          <a:off x="5225415" y="66675"/>
          <a:ext cx="7185660" cy="299085"/>
        </a:xfrm>
        <a:prstGeom prst="wedgeRoundRectCallout">
          <a:avLst>
            <a:gd name="adj1" fmla="val -16106"/>
            <a:gd name="adj2" fmla="val 3718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en-IN" sz="1400"/>
            <a:t>Projektplan</a:t>
          </a: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  <a:endParaRPr lang="de-DE"/>
        </a:p>
      </xdr:txBody>
    </xdr:sp>
    <xdr:clientData/>
  </xdr:twoCellAnchor>
  <xdr:twoCellAnchor>
    <xdr:from>
      <xdr:col>13</xdr:col>
      <xdr:colOff>79864</xdr:colOff>
      <xdr:row>6</xdr:row>
      <xdr:rowOff>192702</xdr:rowOff>
    </xdr:from>
    <xdr:to>
      <xdr:col>15</xdr:col>
      <xdr:colOff>785447</xdr:colOff>
      <xdr:row>8</xdr:row>
      <xdr:rowOff>35172</xdr:rowOff>
    </xdr:to>
    <xdr:sp macro="" textlink="">
      <xdr:nvSpPr>
        <xdr:cNvPr id="16" name="Text Box 40">
          <a:extLst>
            <a:ext uri="{FF2B5EF4-FFF2-40B4-BE49-F238E27FC236}">
              <a16:creationId xmlns:a16="http://schemas.microsoft.com/office/drawing/2014/main" id="{894D376D-9834-440B-9C87-FEF059A66C15}"/>
            </a:ext>
          </a:extLst>
        </xdr:cNvPr>
        <xdr:cNvSpPr txBox="1">
          <a:spLocks noChangeArrowheads="1"/>
        </xdr:cNvSpPr>
      </xdr:nvSpPr>
      <xdr:spPr bwMode="auto">
        <a:xfrm>
          <a:off x="13971124" y="1289982"/>
          <a:ext cx="2290543" cy="26157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cc:- Dr. Elmar Wings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</a:t>
          </a:r>
          <a:endParaRPr lang="de-DE"/>
        </a:p>
      </xdr:txBody>
    </xdr:sp>
    <xdr:clientData/>
  </xdr:twoCellAnchor>
  <xdr:twoCellAnchor>
    <xdr:from>
      <xdr:col>1</xdr:col>
      <xdr:colOff>1168638</xdr:colOff>
      <xdr:row>6</xdr:row>
      <xdr:rowOff>29308</xdr:rowOff>
    </xdr:from>
    <xdr:to>
      <xdr:col>1</xdr:col>
      <xdr:colOff>2883877</xdr:colOff>
      <xdr:row>8</xdr:row>
      <xdr:rowOff>99650</xdr:rowOff>
    </xdr:to>
    <xdr:sp macro="" textlink="">
      <xdr:nvSpPr>
        <xdr:cNvPr id="17" name="Text Box 22">
          <a:extLst>
            <a:ext uri="{FF2B5EF4-FFF2-40B4-BE49-F238E27FC236}">
              <a16:creationId xmlns:a16="http://schemas.microsoft.com/office/drawing/2014/main" id="{3A2BE97F-BB83-4753-8FBE-9C4B02B83514}"/>
            </a:ext>
          </a:extLst>
        </xdr:cNvPr>
        <xdr:cNvSpPr txBox="1">
          <a:spLocks noChangeArrowheads="1"/>
        </xdr:cNvSpPr>
      </xdr:nvSpPr>
      <xdr:spPr bwMode="auto">
        <a:xfrm>
          <a:off x="1961118" y="1126588"/>
          <a:ext cx="1715239" cy="48944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Gautam Ramesh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</a:t>
          </a:r>
          <a:r>
            <a:rPr lang="en-IN" sz="1000" b="0" i="0" u="none" strike="noStrike">
              <a:effectLst/>
              <a:latin typeface="+mn-lt"/>
              <a:ea typeface="+mn-ea"/>
              <a:cs typeface="+mn-cs"/>
            </a:rPr>
            <a:t>7026787</a:t>
          </a:r>
          <a:endParaRPr lang="de-DE" sz="900" b="0" i="0" u="none" strike="noStrike" baseline="0">
            <a:solidFill>
              <a:srgbClr val="000000"/>
            </a:solidFill>
            <a:latin typeface="Tahoma"/>
            <a:ea typeface="Tahoma"/>
            <a:cs typeface="Tahoma"/>
          </a:endParaRP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1. Sem   PVT</a:t>
          </a:r>
        </a:p>
        <a:p>
          <a:pPr algn="ctr" rtl="0">
            <a:defRPr sz="1000"/>
          </a:pPr>
          <a:endParaRPr lang="de-DE"/>
        </a:p>
      </xdr:txBody>
    </xdr:sp>
    <xdr:clientData/>
  </xdr:twoCellAnchor>
  <xdr:twoCellAnchor>
    <xdr:from>
      <xdr:col>1</xdr:col>
      <xdr:colOff>3196733</xdr:colOff>
      <xdr:row>6</xdr:row>
      <xdr:rowOff>29308</xdr:rowOff>
    </xdr:from>
    <xdr:to>
      <xdr:col>3</xdr:col>
      <xdr:colOff>223467</xdr:colOff>
      <xdr:row>8</xdr:row>
      <xdr:rowOff>105500</xdr:rowOff>
    </xdr:to>
    <xdr:sp macro="" textlink="">
      <xdr:nvSpPr>
        <xdr:cNvPr id="18" name="Text Box 22">
          <a:extLst>
            <a:ext uri="{FF2B5EF4-FFF2-40B4-BE49-F238E27FC236}">
              <a16:creationId xmlns:a16="http://schemas.microsoft.com/office/drawing/2014/main" id="{B278F4CF-BD0D-4A97-B198-9C7F0B5EAFDF}"/>
            </a:ext>
          </a:extLst>
        </xdr:cNvPr>
        <xdr:cNvSpPr txBox="1">
          <a:spLocks noChangeArrowheads="1"/>
        </xdr:cNvSpPr>
      </xdr:nvSpPr>
      <xdr:spPr bwMode="auto">
        <a:xfrm>
          <a:off x="3989213" y="1126588"/>
          <a:ext cx="1613974" cy="49529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IN" sz="1000">
              <a:effectLst/>
              <a:latin typeface="+mn-lt"/>
              <a:ea typeface="+mn-ea"/>
              <a:cs typeface="+mn-cs"/>
            </a:rPr>
            <a:t>Siddanth Sharma</a:t>
          </a:r>
          <a:endParaRPr lang="de-DE" sz="900" b="0" i="0" u="none" strike="noStrike" baseline="0">
            <a:solidFill>
              <a:srgbClr val="000000"/>
            </a:solidFill>
            <a:latin typeface="Tahoma"/>
            <a:ea typeface="Tahoma"/>
            <a:cs typeface="Tahoma"/>
          </a:endParaRP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7027189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1. Sem   PVT</a:t>
          </a:r>
        </a:p>
        <a:p>
          <a:pPr algn="ctr" rtl="0">
            <a:defRPr sz="1000"/>
          </a:pPr>
          <a:endParaRPr lang="de-DE"/>
        </a:p>
      </xdr:txBody>
    </xdr:sp>
    <xdr:clientData/>
  </xdr:twoCellAnchor>
  <xdr:twoCellAnchor>
    <xdr:from>
      <xdr:col>4</xdr:col>
      <xdr:colOff>28578</xdr:colOff>
      <xdr:row>14</xdr:row>
      <xdr:rowOff>67402</xdr:rowOff>
    </xdr:from>
    <xdr:to>
      <xdr:col>4</xdr:col>
      <xdr:colOff>768667</xdr:colOff>
      <xdr:row>14</xdr:row>
      <xdr:rowOff>113121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AFADF89-B8EC-4060-A509-E8E000E4FB8C}"/>
            </a:ext>
          </a:extLst>
        </xdr:cNvPr>
        <xdr:cNvSpPr>
          <a:spLocks noChangeAspect="1" noChangeArrowheads="1"/>
        </xdr:cNvSpPr>
      </xdr:nvSpPr>
      <xdr:spPr bwMode="auto">
        <a:xfrm>
          <a:off x="6200778" y="2719162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16864</xdr:colOff>
      <xdr:row>15</xdr:row>
      <xdr:rowOff>79126</xdr:rowOff>
    </xdr:from>
    <xdr:to>
      <xdr:col>5</xdr:col>
      <xdr:colOff>756953</xdr:colOff>
      <xdr:row>15</xdr:row>
      <xdr:rowOff>124845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8D4FF942-2C66-4F81-96A4-1E1859CC2343}"/>
            </a:ext>
          </a:extLst>
        </xdr:cNvPr>
        <xdr:cNvSpPr>
          <a:spLocks noChangeAspect="1" noChangeArrowheads="1"/>
        </xdr:cNvSpPr>
      </xdr:nvSpPr>
      <xdr:spPr bwMode="auto">
        <a:xfrm>
          <a:off x="6981544" y="2913766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16864</xdr:colOff>
      <xdr:row>16</xdr:row>
      <xdr:rowOff>79126</xdr:rowOff>
    </xdr:from>
    <xdr:to>
      <xdr:col>6</xdr:col>
      <xdr:colOff>756953</xdr:colOff>
      <xdr:row>16</xdr:row>
      <xdr:rowOff>124845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F04C4A4-EC81-4EF8-BE34-BDD61C123857}"/>
            </a:ext>
          </a:extLst>
        </xdr:cNvPr>
        <xdr:cNvSpPr>
          <a:spLocks noChangeAspect="1" noChangeArrowheads="1"/>
        </xdr:cNvSpPr>
      </xdr:nvSpPr>
      <xdr:spPr bwMode="auto">
        <a:xfrm>
          <a:off x="7774024" y="3096646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16864</xdr:colOff>
      <xdr:row>17</xdr:row>
      <xdr:rowOff>79126</xdr:rowOff>
    </xdr:from>
    <xdr:to>
      <xdr:col>7</xdr:col>
      <xdr:colOff>756953</xdr:colOff>
      <xdr:row>17</xdr:row>
      <xdr:rowOff>124845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425F69D3-0430-457F-AD88-2BC40B2A9601}"/>
            </a:ext>
          </a:extLst>
        </xdr:cNvPr>
        <xdr:cNvSpPr>
          <a:spLocks noChangeAspect="1" noChangeArrowheads="1"/>
        </xdr:cNvSpPr>
      </xdr:nvSpPr>
      <xdr:spPr bwMode="auto">
        <a:xfrm>
          <a:off x="8566504" y="3279526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16864</xdr:colOff>
      <xdr:row>18</xdr:row>
      <xdr:rowOff>79126</xdr:rowOff>
    </xdr:from>
    <xdr:to>
      <xdr:col>8</xdr:col>
      <xdr:colOff>756953</xdr:colOff>
      <xdr:row>18</xdr:row>
      <xdr:rowOff>124845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776E20BE-2C97-4E32-88EE-075F7D795DDF}"/>
            </a:ext>
          </a:extLst>
        </xdr:cNvPr>
        <xdr:cNvSpPr>
          <a:spLocks noChangeAspect="1" noChangeArrowheads="1"/>
        </xdr:cNvSpPr>
      </xdr:nvSpPr>
      <xdr:spPr bwMode="auto">
        <a:xfrm>
          <a:off x="9358984" y="3462406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70204</xdr:colOff>
      <xdr:row>18</xdr:row>
      <xdr:rowOff>61541</xdr:rowOff>
    </xdr:from>
    <xdr:to>
      <xdr:col>9</xdr:col>
      <xdr:colOff>1389771</xdr:colOff>
      <xdr:row>19</xdr:row>
      <xdr:rowOff>105508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816443B-57B8-46E9-906B-BF02D28657ED}"/>
            </a:ext>
          </a:extLst>
        </xdr:cNvPr>
        <xdr:cNvSpPr>
          <a:spLocks noChangeAspect="1" noChangeArrowheads="1"/>
        </xdr:cNvSpPr>
      </xdr:nvSpPr>
      <xdr:spPr bwMode="auto">
        <a:xfrm>
          <a:off x="10418164" y="3444821"/>
          <a:ext cx="1319567" cy="22684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298944</xdr:colOff>
      <xdr:row>32</xdr:row>
      <xdr:rowOff>263772</xdr:rowOff>
    </xdr:from>
    <xdr:to>
      <xdr:col>3</xdr:col>
      <xdr:colOff>479919</xdr:colOff>
      <xdr:row>32</xdr:row>
      <xdr:rowOff>387597</xdr:rowOff>
    </xdr:to>
    <xdr:sp macro="" textlink="">
      <xdr:nvSpPr>
        <xdr:cNvPr id="26" name="AutoShape 35">
          <a:extLst>
            <a:ext uri="{FF2B5EF4-FFF2-40B4-BE49-F238E27FC236}">
              <a16:creationId xmlns:a16="http://schemas.microsoft.com/office/drawing/2014/main" id="{C4FD1AEA-D3FD-46BC-A6A2-9D3F77F43CCC}"/>
            </a:ext>
          </a:extLst>
        </xdr:cNvPr>
        <xdr:cNvSpPr>
          <a:spLocks noChangeArrowheads="1"/>
        </xdr:cNvSpPr>
      </xdr:nvSpPr>
      <xdr:spPr bwMode="auto">
        <a:xfrm>
          <a:off x="5892024" y="6222612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5862</xdr:colOff>
      <xdr:row>20</xdr:row>
      <xdr:rowOff>58617</xdr:rowOff>
    </xdr:from>
    <xdr:to>
      <xdr:col>10</xdr:col>
      <xdr:colOff>745951</xdr:colOff>
      <xdr:row>20</xdr:row>
      <xdr:rowOff>104336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5BC788C1-4FB7-42A6-8622-9BE4919A804D}"/>
            </a:ext>
          </a:extLst>
        </xdr:cNvPr>
        <xdr:cNvSpPr>
          <a:spLocks noChangeAspect="1" noChangeArrowheads="1"/>
        </xdr:cNvSpPr>
      </xdr:nvSpPr>
      <xdr:spPr bwMode="auto">
        <a:xfrm>
          <a:off x="11519682" y="380765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11</xdr:col>
      <xdr:colOff>5862</xdr:colOff>
      <xdr:row>21</xdr:row>
      <xdr:rowOff>58617</xdr:rowOff>
    </xdr:from>
    <xdr:to>
      <xdr:col>11</xdr:col>
      <xdr:colOff>745951</xdr:colOff>
      <xdr:row>21</xdr:row>
      <xdr:rowOff>104336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EE6024D-8351-4937-A5C1-EF44533331CE}"/>
            </a:ext>
          </a:extLst>
        </xdr:cNvPr>
        <xdr:cNvSpPr>
          <a:spLocks noChangeAspect="1" noChangeArrowheads="1"/>
        </xdr:cNvSpPr>
      </xdr:nvSpPr>
      <xdr:spPr bwMode="auto">
        <a:xfrm>
          <a:off x="12312162" y="399053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5862</xdr:colOff>
      <xdr:row>22</xdr:row>
      <xdr:rowOff>58617</xdr:rowOff>
    </xdr:from>
    <xdr:to>
      <xdr:col>12</xdr:col>
      <xdr:colOff>745951</xdr:colOff>
      <xdr:row>22</xdr:row>
      <xdr:rowOff>104336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EAB9B946-043F-47BA-8B39-E99219A76462}"/>
            </a:ext>
          </a:extLst>
        </xdr:cNvPr>
        <xdr:cNvSpPr>
          <a:spLocks noChangeAspect="1" noChangeArrowheads="1"/>
        </xdr:cNvSpPr>
      </xdr:nvSpPr>
      <xdr:spPr bwMode="auto">
        <a:xfrm>
          <a:off x="13104642" y="417341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5862</xdr:colOff>
      <xdr:row>25</xdr:row>
      <xdr:rowOff>58617</xdr:rowOff>
    </xdr:from>
    <xdr:to>
      <xdr:col>14</xdr:col>
      <xdr:colOff>745951</xdr:colOff>
      <xdr:row>25</xdr:row>
      <xdr:rowOff>104336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99C7855B-BB41-4E4B-A06E-2513BD2D63DF}"/>
            </a:ext>
          </a:extLst>
        </xdr:cNvPr>
        <xdr:cNvSpPr>
          <a:spLocks noChangeAspect="1" noChangeArrowheads="1"/>
        </xdr:cNvSpPr>
      </xdr:nvSpPr>
      <xdr:spPr bwMode="auto">
        <a:xfrm>
          <a:off x="14689602" y="472205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5862</xdr:colOff>
      <xdr:row>24</xdr:row>
      <xdr:rowOff>58617</xdr:rowOff>
    </xdr:from>
    <xdr:to>
      <xdr:col>13</xdr:col>
      <xdr:colOff>745951</xdr:colOff>
      <xdr:row>24</xdr:row>
      <xdr:rowOff>104336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6A25398F-FC21-46F3-9453-E817EA097DD3}"/>
            </a:ext>
          </a:extLst>
        </xdr:cNvPr>
        <xdr:cNvSpPr>
          <a:spLocks noChangeAspect="1" noChangeArrowheads="1"/>
        </xdr:cNvSpPr>
      </xdr:nvSpPr>
      <xdr:spPr bwMode="auto">
        <a:xfrm>
          <a:off x="13897122" y="453917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5862</xdr:colOff>
      <xdr:row>26</xdr:row>
      <xdr:rowOff>58617</xdr:rowOff>
    </xdr:from>
    <xdr:to>
      <xdr:col>14</xdr:col>
      <xdr:colOff>745951</xdr:colOff>
      <xdr:row>26</xdr:row>
      <xdr:rowOff>104336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41BEDE30-C3DB-48C5-940F-953FED519DA1}"/>
            </a:ext>
          </a:extLst>
        </xdr:cNvPr>
        <xdr:cNvSpPr>
          <a:spLocks noChangeAspect="1" noChangeArrowheads="1"/>
        </xdr:cNvSpPr>
      </xdr:nvSpPr>
      <xdr:spPr bwMode="auto">
        <a:xfrm>
          <a:off x="14689602" y="490493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5862</xdr:colOff>
      <xdr:row>23</xdr:row>
      <xdr:rowOff>58617</xdr:rowOff>
    </xdr:from>
    <xdr:to>
      <xdr:col>12</xdr:col>
      <xdr:colOff>745951</xdr:colOff>
      <xdr:row>23</xdr:row>
      <xdr:rowOff>104336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44E7BD70-5B2F-4D27-B8B8-79015288E8D3}"/>
            </a:ext>
          </a:extLst>
        </xdr:cNvPr>
        <xdr:cNvSpPr>
          <a:spLocks noChangeAspect="1" noChangeArrowheads="1"/>
        </xdr:cNvSpPr>
      </xdr:nvSpPr>
      <xdr:spPr bwMode="auto">
        <a:xfrm>
          <a:off x="13104642" y="435629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44841</xdr:colOff>
      <xdr:row>14</xdr:row>
      <xdr:rowOff>38100</xdr:rowOff>
    </xdr:from>
    <xdr:to>
      <xdr:col>3</xdr:col>
      <xdr:colOff>266700</xdr:colOff>
      <xdr:row>17</xdr:row>
      <xdr:rowOff>180389</xdr:rowOff>
    </xdr:to>
    <xdr:sp macro="" textlink="">
      <xdr:nvSpPr>
        <xdr:cNvPr id="4" name="Text Box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>
          <a:spLocks noChangeArrowheads="1"/>
        </xdr:cNvSpPr>
      </xdr:nvSpPr>
      <xdr:spPr bwMode="auto">
        <a:xfrm>
          <a:off x="5424561" y="2689860"/>
          <a:ext cx="221859" cy="69092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/>
            <a:t>Enrollment</a:t>
          </a:r>
        </a:p>
      </xdr:txBody>
    </xdr:sp>
    <xdr:clientData/>
  </xdr:twoCellAnchor>
  <xdr:twoCellAnchor>
    <xdr:from>
      <xdr:col>15</xdr:col>
      <xdr:colOff>738566</xdr:colOff>
      <xdr:row>13</xdr:row>
      <xdr:rowOff>47625</xdr:rowOff>
    </xdr:from>
    <xdr:to>
      <xdr:col>15</xdr:col>
      <xdr:colOff>738566</xdr:colOff>
      <xdr:row>31</xdr:row>
      <xdr:rowOff>28575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15609289" y="2521194"/>
          <a:ext cx="0" cy="3275135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38122</xdr:colOff>
      <xdr:row>13</xdr:row>
      <xdr:rowOff>47625</xdr:rowOff>
    </xdr:from>
    <xdr:to>
      <xdr:col>3</xdr:col>
      <xdr:colOff>38122</xdr:colOff>
      <xdr:row>31</xdr:row>
      <xdr:rowOff>28575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ShapeType="1"/>
        </xdr:cNvSpPr>
      </xdr:nvSpPr>
      <xdr:spPr bwMode="auto">
        <a:xfrm>
          <a:off x="5413153" y="2521194"/>
          <a:ext cx="0" cy="3275135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IN"/>
        </a:p>
      </xdr:txBody>
    </xdr:sp>
    <xdr:clientData/>
  </xdr:twoCellAnchor>
  <xdr:twoCellAnchor>
    <xdr:from>
      <xdr:col>15</xdr:col>
      <xdr:colOff>457201</xdr:colOff>
      <xdr:row>13</xdr:row>
      <xdr:rowOff>95250</xdr:rowOff>
    </xdr:from>
    <xdr:to>
      <xdr:col>15</xdr:col>
      <xdr:colOff>685801</xdr:colOff>
      <xdr:row>18</xdr:row>
      <xdr:rowOff>152400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>
          <a:spLocks noChangeArrowheads="1"/>
        </xdr:cNvSpPr>
      </xdr:nvSpPr>
      <xdr:spPr bwMode="auto">
        <a:xfrm>
          <a:off x="15933421" y="2564130"/>
          <a:ext cx="228600" cy="9715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Submission</a:t>
          </a:r>
        </a:p>
      </xdr:txBody>
    </xdr:sp>
    <xdr:clientData/>
  </xdr:twoCellAnchor>
  <xdr:twoCellAnchor>
    <xdr:from>
      <xdr:col>15</xdr:col>
      <xdr:colOff>55686</xdr:colOff>
      <xdr:row>26</xdr:row>
      <xdr:rowOff>175843</xdr:rowOff>
    </xdr:from>
    <xdr:to>
      <xdr:col>15</xdr:col>
      <xdr:colOff>750277</xdr:colOff>
      <xdr:row>27</xdr:row>
      <xdr:rowOff>169982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>
          <a:grpSpLocks/>
        </xdr:cNvGrpSpPr>
      </xdr:nvGrpSpPr>
      <xdr:grpSpPr bwMode="auto">
        <a:xfrm>
          <a:off x="15531906" y="5022163"/>
          <a:ext cx="694591" cy="177019"/>
          <a:chOff x="691" y="481"/>
          <a:chExt cx="144" cy="27"/>
        </a:xfrm>
      </xdr:grpSpPr>
      <xdr:sp macro="" textlink="">
        <xdr:nvSpPr>
          <xdr:cNvPr id="18" name="Rectangle 17" descr="10%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8" descr="10%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73262</xdr:rowOff>
    </xdr:from>
    <xdr:to>
      <xdr:col>3</xdr:col>
      <xdr:colOff>768664</xdr:colOff>
      <xdr:row>13</xdr:row>
      <xdr:rowOff>118981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5403606" y="2546831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23" name="Text Box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 txBox="1">
          <a:spLocks noChangeArrowheads="1"/>
        </xdr:cNvSpPr>
      </xdr:nvSpPr>
      <xdr:spPr bwMode="auto">
        <a:xfrm>
          <a:off x="66675" y="1085850"/>
          <a:ext cx="125730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Shubhankar Dumka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7027187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1. Sem   PVT</a:t>
          </a:r>
        </a:p>
        <a:p>
          <a:pPr algn="ctr" rtl="0">
            <a:defRPr sz="1000"/>
          </a:pPr>
          <a:endParaRPr lang="de-DE"/>
        </a:p>
      </xdr:txBody>
    </xdr:sp>
    <xdr:clientData/>
  </xdr:twoCellAnchor>
  <xdr:twoCellAnchor>
    <xdr:from>
      <xdr:col>0</xdr:col>
      <xdr:colOff>66675</xdr:colOff>
      <xdr:row>33</xdr:row>
      <xdr:rowOff>114300</xdr:rowOff>
    </xdr:from>
    <xdr:to>
      <xdr:col>1</xdr:col>
      <xdr:colOff>971550</xdr:colOff>
      <xdr:row>35</xdr:row>
      <xdr:rowOff>0</xdr:rowOff>
    </xdr:to>
    <xdr:sp macro="" textlink="">
      <xdr:nvSpPr>
        <xdr:cNvPr id="24" name="Text Box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1.0 / 25.09.2025</a:t>
          </a:r>
          <a:endParaRPr lang="de-DE"/>
        </a:p>
      </xdr:txBody>
    </xdr:sp>
    <xdr:clientData/>
  </xdr:twoCellAnchor>
  <xdr:twoCellAnchor>
    <xdr:from>
      <xdr:col>15</xdr:col>
      <xdr:colOff>289408</xdr:colOff>
      <xdr:row>32</xdr:row>
      <xdr:rowOff>156799</xdr:rowOff>
    </xdr:from>
    <xdr:to>
      <xdr:col>15</xdr:col>
      <xdr:colOff>470383</xdr:colOff>
      <xdr:row>32</xdr:row>
      <xdr:rowOff>280624</xdr:rowOff>
    </xdr:to>
    <xdr:sp macro="" textlink="">
      <xdr:nvSpPr>
        <xdr:cNvPr id="36" name="AutoShap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15746285" y="6106261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638175</xdr:colOff>
      <xdr:row>0</xdr:row>
      <xdr:rowOff>66675</xdr:rowOff>
    </xdr:from>
    <xdr:to>
      <xdr:col>11</xdr:col>
      <xdr:colOff>104775</xdr:colOff>
      <xdr:row>1</xdr:row>
      <xdr:rowOff>304800</xdr:rowOff>
    </xdr:to>
    <xdr:sp macro="" textlink="">
      <xdr:nvSpPr>
        <xdr:cNvPr id="40" name="AutoShape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>
          <a:spLocks noChangeArrowheads="1"/>
        </xdr:cNvSpPr>
      </xdr:nvSpPr>
      <xdr:spPr bwMode="auto">
        <a:xfrm>
          <a:off x="2771775" y="66675"/>
          <a:ext cx="4981575" cy="371475"/>
        </a:xfrm>
        <a:prstGeom prst="wedgeRoundRectCallout">
          <a:avLst>
            <a:gd name="adj1" fmla="val -16106"/>
            <a:gd name="adj2" fmla="val 3718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Project Plan </a:t>
          </a:r>
          <a:endParaRPr lang="de-DE"/>
        </a:p>
      </xdr:txBody>
    </xdr:sp>
    <xdr:clientData/>
  </xdr:twoCellAnchor>
  <xdr:twoCellAnchor>
    <xdr:from>
      <xdr:col>13</xdr:col>
      <xdr:colOff>79864</xdr:colOff>
      <xdr:row>6</xdr:row>
      <xdr:rowOff>192702</xdr:rowOff>
    </xdr:from>
    <xdr:to>
      <xdr:col>15</xdr:col>
      <xdr:colOff>785447</xdr:colOff>
      <xdr:row>8</xdr:row>
      <xdr:rowOff>35172</xdr:rowOff>
    </xdr:to>
    <xdr:sp macro="" textlink="">
      <xdr:nvSpPr>
        <xdr:cNvPr id="41" name="Text Box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>
          <a:spLocks noChangeArrowheads="1"/>
        </xdr:cNvSpPr>
      </xdr:nvSpPr>
      <xdr:spPr bwMode="auto">
        <a:xfrm>
          <a:off x="13367972" y="1282948"/>
          <a:ext cx="2288198" cy="26450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cc:- Dr. Elmar Wings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</a:t>
          </a:r>
          <a:endParaRPr lang="de-DE"/>
        </a:p>
      </xdr:txBody>
    </xdr:sp>
    <xdr:clientData/>
  </xdr:twoCellAnchor>
  <xdr:twoCellAnchor>
    <xdr:from>
      <xdr:col>1</xdr:col>
      <xdr:colOff>1168638</xdr:colOff>
      <xdr:row>6</xdr:row>
      <xdr:rowOff>29308</xdr:rowOff>
    </xdr:from>
    <xdr:to>
      <xdr:col>1</xdr:col>
      <xdr:colOff>2883877</xdr:colOff>
      <xdr:row>8</xdr:row>
      <xdr:rowOff>99650</xdr:rowOff>
    </xdr:to>
    <xdr:sp macro="" textlink="">
      <xdr:nvSpPr>
        <xdr:cNvPr id="59" name="Text Box 22">
          <a:extLst>
            <a:ext uri="{FF2B5EF4-FFF2-40B4-BE49-F238E27FC236}">
              <a16:creationId xmlns:a16="http://schemas.microsoft.com/office/drawing/2014/main" id="{55881B33-D833-46D8-A2CB-2C2B6AA7BFFC}"/>
            </a:ext>
          </a:extLst>
        </xdr:cNvPr>
        <xdr:cNvSpPr txBox="1">
          <a:spLocks noChangeArrowheads="1"/>
        </xdr:cNvSpPr>
      </xdr:nvSpPr>
      <xdr:spPr bwMode="auto">
        <a:xfrm>
          <a:off x="1959946" y="1119554"/>
          <a:ext cx="1715239" cy="492373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Gautam Ramesh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</a:t>
          </a:r>
          <a:r>
            <a:rPr lang="en-IN" sz="1000" b="0" i="0" u="none" strike="noStrike">
              <a:effectLst/>
              <a:latin typeface="+mn-lt"/>
              <a:ea typeface="+mn-ea"/>
              <a:cs typeface="+mn-cs"/>
            </a:rPr>
            <a:t>7026787</a:t>
          </a:r>
          <a:endParaRPr lang="de-DE" sz="900" b="0" i="0" u="none" strike="noStrike" baseline="0">
            <a:solidFill>
              <a:srgbClr val="000000"/>
            </a:solidFill>
            <a:latin typeface="Tahoma"/>
            <a:ea typeface="Tahoma"/>
            <a:cs typeface="Tahoma"/>
          </a:endParaRP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1. Sem   PVT</a:t>
          </a:r>
        </a:p>
        <a:p>
          <a:pPr algn="ctr" rtl="0">
            <a:defRPr sz="1000"/>
          </a:pPr>
          <a:endParaRPr lang="de-DE"/>
        </a:p>
      </xdr:txBody>
    </xdr:sp>
    <xdr:clientData/>
  </xdr:twoCellAnchor>
  <xdr:twoCellAnchor>
    <xdr:from>
      <xdr:col>1</xdr:col>
      <xdr:colOff>3196733</xdr:colOff>
      <xdr:row>6</xdr:row>
      <xdr:rowOff>29308</xdr:rowOff>
    </xdr:from>
    <xdr:to>
      <xdr:col>3</xdr:col>
      <xdr:colOff>223467</xdr:colOff>
      <xdr:row>8</xdr:row>
      <xdr:rowOff>105500</xdr:rowOff>
    </xdr:to>
    <xdr:sp macro="" textlink="">
      <xdr:nvSpPr>
        <xdr:cNvPr id="60" name="Text Box 22">
          <a:extLst>
            <a:ext uri="{FF2B5EF4-FFF2-40B4-BE49-F238E27FC236}">
              <a16:creationId xmlns:a16="http://schemas.microsoft.com/office/drawing/2014/main" id="{B8EB9B35-EC90-4BBE-A79C-87055D957FDA}"/>
            </a:ext>
          </a:extLst>
        </xdr:cNvPr>
        <xdr:cNvSpPr txBox="1">
          <a:spLocks noChangeArrowheads="1"/>
        </xdr:cNvSpPr>
      </xdr:nvSpPr>
      <xdr:spPr bwMode="auto">
        <a:xfrm>
          <a:off x="3988041" y="1119554"/>
          <a:ext cx="1610457" cy="498223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IN" sz="1000">
              <a:effectLst/>
              <a:latin typeface="+mn-lt"/>
              <a:ea typeface="+mn-ea"/>
              <a:cs typeface="+mn-cs"/>
            </a:rPr>
            <a:t>Siddanth Sharma</a:t>
          </a:r>
          <a:endParaRPr lang="de-DE" sz="900" b="0" i="0" u="none" strike="noStrike" baseline="0">
            <a:solidFill>
              <a:srgbClr val="000000"/>
            </a:solidFill>
            <a:latin typeface="Tahoma"/>
            <a:ea typeface="Tahoma"/>
            <a:cs typeface="Tahoma"/>
          </a:endParaRP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7027189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1. Sem   PVT</a:t>
          </a:r>
        </a:p>
        <a:p>
          <a:pPr algn="ctr" rtl="0">
            <a:defRPr sz="1000"/>
          </a:pPr>
          <a:endParaRPr lang="de-DE"/>
        </a:p>
      </xdr:txBody>
    </xdr:sp>
    <xdr:clientData/>
  </xdr:twoCellAnchor>
  <xdr:twoCellAnchor>
    <xdr:from>
      <xdr:col>4</xdr:col>
      <xdr:colOff>28578</xdr:colOff>
      <xdr:row>14</xdr:row>
      <xdr:rowOff>67402</xdr:rowOff>
    </xdr:from>
    <xdr:to>
      <xdr:col>4</xdr:col>
      <xdr:colOff>768667</xdr:colOff>
      <xdr:row>14</xdr:row>
      <xdr:rowOff>113121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E0EC04A9-8ED2-474F-8633-D80B49712B81}"/>
            </a:ext>
          </a:extLst>
        </xdr:cNvPr>
        <xdr:cNvSpPr>
          <a:spLocks noChangeAspect="1" noChangeArrowheads="1"/>
        </xdr:cNvSpPr>
      </xdr:nvSpPr>
      <xdr:spPr bwMode="auto">
        <a:xfrm>
          <a:off x="6194916" y="2722679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16864</xdr:colOff>
      <xdr:row>15</xdr:row>
      <xdr:rowOff>79126</xdr:rowOff>
    </xdr:from>
    <xdr:to>
      <xdr:col>5</xdr:col>
      <xdr:colOff>756953</xdr:colOff>
      <xdr:row>15</xdr:row>
      <xdr:rowOff>124845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8A200004-1C9D-4D3E-B869-FDBDA62DA3DF}"/>
            </a:ext>
          </a:extLst>
        </xdr:cNvPr>
        <xdr:cNvSpPr>
          <a:spLocks noChangeAspect="1" noChangeArrowheads="1"/>
        </xdr:cNvSpPr>
      </xdr:nvSpPr>
      <xdr:spPr bwMode="auto">
        <a:xfrm>
          <a:off x="6974510" y="2916111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16864</xdr:colOff>
      <xdr:row>16</xdr:row>
      <xdr:rowOff>79126</xdr:rowOff>
    </xdr:from>
    <xdr:to>
      <xdr:col>6</xdr:col>
      <xdr:colOff>756953</xdr:colOff>
      <xdr:row>16</xdr:row>
      <xdr:rowOff>124845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38AD473D-A487-4A21-B175-04AD8347EB1C}"/>
            </a:ext>
          </a:extLst>
        </xdr:cNvPr>
        <xdr:cNvSpPr>
          <a:spLocks noChangeAspect="1" noChangeArrowheads="1"/>
        </xdr:cNvSpPr>
      </xdr:nvSpPr>
      <xdr:spPr bwMode="auto">
        <a:xfrm>
          <a:off x="6974510" y="2916111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16864</xdr:colOff>
      <xdr:row>17</xdr:row>
      <xdr:rowOff>79126</xdr:rowOff>
    </xdr:from>
    <xdr:to>
      <xdr:col>7</xdr:col>
      <xdr:colOff>756953</xdr:colOff>
      <xdr:row>17</xdr:row>
      <xdr:rowOff>124845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61BEFD3D-80BB-4346-BF49-21943FC97CBA}"/>
            </a:ext>
          </a:extLst>
        </xdr:cNvPr>
        <xdr:cNvSpPr>
          <a:spLocks noChangeAspect="1" noChangeArrowheads="1"/>
        </xdr:cNvSpPr>
      </xdr:nvSpPr>
      <xdr:spPr bwMode="auto">
        <a:xfrm>
          <a:off x="8557126" y="3279526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16864</xdr:colOff>
      <xdr:row>18</xdr:row>
      <xdr:rowOff>79126</xdr:rowOff>
    </xdr:from>
    <xdr:to>
      <xdr:col>8</xdr:col>
      <xdr:colOff>756953</xdr:colOff>
      <xdr:row>18</xdr:row>
      <xdr:rowOff>124845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1E2FD798-5F20-4E5E-B676-CF80B2B288CB}"/>
            </a:ext>
          </a:extLst>
        </xdr:cNvPr>
        <xdr:cNvSpPr>
          <a:spLocks noChangeAspect="1" noChangeArrowheads="1"/>
        </xdr:cNvSpPr>
      </xdr:nvSpPr>
      <xdr:spPr bwMode="auto">
        <a:xfrm>
          <a:off x="9442218" y="3461234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16864</xdr:colOff>
      <xdr:row>18</xdr:row>
      <xdr:rowOff>61541</xdr:rowOff>
    </xdr:from>
    <xdr:to>
      <xdr:col>9</xdr:col>
      <xdr:colOff>1336431</xdr:colOff>
      <xdr:row>19</xdr:row>
      <xdr:rowOff>105508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93252291-B9E1-46F6-BD8D-CA4669F715DA}"/>
            </a:ext>
          </a:extLst>
        </xdr:cNvPr>
        <xdr:cNvSpPr>
          <a:spLocks noChangeAspect="1" noChangeArrowheads="1"/>
        </xdr:cNvSpPr>
      </xdr:nvSpPr>
      <xdr:spPr bwMode="auto">
        <a:xfrm>
          <a:off x="10139741" y="3443649"/>
          <a:ext cx="1319567" cy="225674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5862</xdr:colOff>
      <xdr:row>20</xdr:row>
      <xdr:rowOff>58617</xdr:rowOff>
    </xdr:from>
    <xdr:to>
      <xdr:col>10</xdr:col>
      <xdr:colOff>745951</xdr:colOff>
      <xdr:row>20</xdr:row>
      <xdr:rowOff>104336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83626F9-F3F4-47F4-BBAB-3557008BABB8}"/>
            </a:ext>
          </a:extLst>
        </xdr:cNvPr>
        <xdr:cNvSpPr>
          <a:spLocks noChangeAspect="1" noChangeArrowheads="1"/>
        </xdr:cNvSpPr>
      </xdr:nvSpPr>
      <xdr:spPr bwMode="auto">
        <a:xfrm>
          <a:off x="11728939" y="3804140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298944</xdr:colOff>
      <xdr:row>32</xdr:row>
      <xdr:rowOff>187572</xdr:rowOff>
    </xdr:from>
    <xdr:to>
      <xdr:col>3</xdr:col>
      <xdr:colOff>479919</xdr:colOff>
      <xdr:row>32</xdr:row>
      <xdr:rowOff>311397</xdr:rowOff>
    </xdr:to>
    <xdr:sp macro="" textlink="">
      <xdr:nvSpPr>
        <xdr:cNvPr id="71" name="AutoShape 35">
          <a:extLst>
            <a:ext uri="{FF2B5EF4-FFF2-40B4-BE49-F238E27FC236}">
              <a16:creationId xmlns:a16="http://schemas.microsoft.com/office/drawing/2014/main" id="{78215324-24BF-496D-A24B-FD44BC81BA46}"/>
            </a:ext>
          </a:extLst>
        </xdr:cNvPr>
        <xdr:cNvSpPr>
          <a:spLocks noChangeArrowheads="1"/>
        </xdr:cNvSpPr>
      </xdr:nvSpPr>
      <xdr:spPr bwMode="auto">
        <a:xfrm>
          <a:off x="5673975" y="6137034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11</xdr:col>
      <xdr:colOff>5862</xdr:colOff>
      <xdr:row>21</xdr:row>
      <xdr:rowOff>58617</xdr:rowOff>
    </xdr:from>
    <xdr:to>
      <xdr:col>11</xdr:col>
      <xdr:colOff>745951</xdr:colOff>
      <xdr:row>21</xdr:row>
      <xdr:rowOff>104336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F53521E-9B23-4DDB-9AEF-5614DACB463C}"/>
            </a:ext>
          </a:extLst>
        </xdr:cNvPr>
        <xdr:cNvSpPr>
          <a:spLocks noChangeAspect="1" noChangeArrowheads="1"/>
        </xdr:cNvSpPr>
      </xdr:nvSpPr>
      <xdr:spPr bwMode="auto">
        <a:xfrm>
          <a:off x="11519682" y="380765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5862</xdr:colOff>
      <xdr:row>22</xdr:row>
      <xdr:rowOff>58617</xdr:rowOff>
    </xdr:from>
    <xdr:to>
      <xdr:col>12</xdr:col>
      <xdr:colOff>745951</xdr:colOff>
      <xdr:row>22</xdr:row>
      <xdr:rowOff>104336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F904BA2-04D3-4FE8-B8CF-66F508ACD0EA}"/>
            </a:ext>
          </a:extLst>
        </xdr:cNvPr>
        <xdr:cNvSpPr>
          <a:spLocks noChangeAspect="1" noChangeArrowheads="1"/>
        </xdr:cNvSpPr>
      </xdr:nvSpPr>
      <xdr:spPr bwMode="auto">
        <a:xfrm>
          <a:off x="11519682" y="380765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5862</xdr:colOff>
      <xdr:row>25</xdr:row>
      <xdr:rowOff>58617</xdr:rowOff>
    </xdr:from>
    <xdr:to>
      <xdr:col>14</xdr:col>
      <xdr:colOff>745951</xdr:colOff>
      <xdr:row>25</xdr:row>
      <xdr:rowOff>104336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7A56443-223D-4E27-A85B-9BAAA787B6FC}"/>
            </a:ext>
          </a:extLst>
        </xdr:cNvPr>
        <xdr:cNvSpPr>
          <a:spLocks noChangeAspect="1" noChangeArrowheads="1"/>
        </xdr:cNvSpPr>
      </xdr:nvSpPr>
      <xdr:spPr bwMode="auto">
        <a:xfrm>
          <a:off x="11519682" y="380765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5862</xdr:colOff>
      <xdr:row>24</xdr:row>
      <xdr:rowOff>58617</xdr:rowOff>
    </xdr:from>
    <xdr:to>
      <xdr:col>13</xdr:col>
      <xdr:colOff>745951</xdr:colOff>
      <xdr:row>24</xdr:row>
      <xdr:rowOff>104336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C535A4B-A0E4-4C3D-A859-1CE26AABCD4A}"/>
            </a:ext>
          </a:extLst>
        </xdr:cNvPr>
        <xdr:cNvSpPr>
          <a:spLocks noChangeAspect="1" noChangeArrowheads="1"/>
        </xdr:cNvSpPr>
      </xdr:nvSpPr>
      <xdr:spPr bwMode="auto">
        <a:xfrm>
          <a:off x="13897122" y="435629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5862</xdr:colOff>
      <xdr:row>26</xdr:row>
      <xdr:rowOff>58617</xdr:rowOff>
    </xdr:from>
    <xdr:to>
      <xdr:col>14</xdr:col>
      <xdr:colOff>745951</xdr:colOff>
      <xdr:row>26</xdr:row>
      <xdr:rowOff>104336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13412D7B-DE19-4559-BEBC-BFCE59B67956}"/>
            </a:ext>
          </a:extLst>
        </xdr:cNvPr>
        <xdr:cNvSpPr>
          <a:spLocks noChangeAspect="1" noChangeArrowheads="1"/>
        </xdr:cNvSpPr>
      </xdr:nvSpPr>
      <xdr:spPr bwMode="auto">
        <a:xfrm>
          <a:off x="13897122" y="435629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5862</xdr:colOff>
      <xdr:row>23</xdr:row>
      <xdr:rowOff>58617</xdr:rowOff>
    </xdr:from>
    <xdr:to>
      <xdr:col>12</xdr:col>
      <xdr:colOff>745951</xdr:colOff>
      <xdr:row>23</xdr:row>
      <xdr:rowOff>104336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86477E3-5420-4F43-8B6A-8D15A520A88E}"/>
            </a:ext>
          </a:extLst>
        </xdr:cNvPr>
        <xdr:cNvSpPr>
          <a:spLocks noChangeAspect="1" noChangeArrowheads="1"/>
        </xdr:cNvSpPr>
      </xdr:nvSpPr>
      <xdr:spPr bwMode="auto">
        <a:xfrm>
          <a:off x="13897122" y="435629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142874</xdr:colOff>
      <xdr:row>1</xdr:row>
      <xdr:rowOff>47625</xdr:rowOff>
    </xdr:from>
    <xdr:to>
      <xdr:col>6</xdr:col>
      <xdr:colOff>561974</xdr:colOff>
      <xdr:row>3</xdr:row>
      <xdr:rowOff>123825</xdr:rowOff>
    </xdr:to>
    <xdr:sp macro="" textlink="">
      <xdr:nvSpPr>
        <xdr:cNvPr id="3" name="Abgerundetes Rechteck 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752474" y="238125"/>
          <a:ext cx="4829175" cy="45720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de-DE" sz="1400" b="1">
              <a:solidFill>
                <a:sysClr val="windowText" lastClr="000000"/>
              </a:solidFill>
            </a:rPr>
            <a:t>Project</a:t>
          </a:r>
          <a:r>
            <a:rPr lang="de-DE" sz="1400" b="1" baseline="0">
              <a:solidFill>
                <a:sysClr val="windowText" lastClr="000000"/>
              </a:solidFill>
            </a:rPr>
            <a:t>plan-Project (10credits) in Master Course </a:t>
          </a:r>
          <a:br>
            <a:rPr lang="de-DE" sz="1400" b="1" baseline="0">
              <a:solidFill>
                <a:sysClr val="windowText" lastClr="000000"/>
              </a:solidFill>
            </a:rPr>
          </a:br>
          <a:r>
            <a:rPr lang="de-DE" sz="1400" b="1" baseline="0">
              <a:solidFill>
                <a:sysClr val="windowText" lastClr="000000"/>
              </a:solidFill>
            </a:rPr>
            <a:t>"Business Intelligence and Data Analytics" </a:t>
          </a:r>
          <a:endParaRPr lang="de-DE" sz="1400" b="1">
            <a:solidFill>
              <a:sysClr val="windowText" lastClr="0000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Git\GitTemplate\Evaluation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Project"/>
      <sheetName val="Formalities"/>
    </sheetNames>
    <sheetDataSet>
      <sheetData sheetId="0">
        <row r="207">
          <cell r="A207" t="str">
            <v>Homework "Literature"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abSelected="1" topLeftCell="A23" workbookViewId="0">
      <selection activeCell="D23" sqref="D23"/>
    </sheetView>
  </sheetViews>
  <sheetFormatPr defaultColWidth="9.109375" defaultRowHeight="14.4" x14ac:dyDescent="0.3"/>
  <cols>
    <col min="1" max="1" width="15.77734375" customWidth="1"/>
    <col min="2" max="2" width="55" bestFit="1" customWidth="1"/>
    <col min="4" max="4" width="10.33203125" bestFit="1" customWidth="1"/>
  </cols>
  <sheetData>
    <row r="1" spans="1:9" ht="23.4" x14ac:dyDescent="0.45">
      <c r="B1" s="1" t="s">
        <v>105</v>
      </c>
    </row>
    <row r="3" spans="1:9" ht="15" thickBot="1" x14ac:dyDescent="0.35"/>
    <row r="4" spans="1:9" x14ac:dyDescent="0.3">
      <c r="A4" s="2" t="s">
        <v>16</v>
      </c>
      <c r="B4" s="3" t="s">
        <v>104</v>
      </c>
      <c r="G4" s="4"/>
      <c r="H4" s="2" t="s">
        <v>17</v>
      </c>
      <c r="I4" s="3"/>
    </row>
    <row r="5" spans="1:9" x14ac:dyDescent="0.3">
      <c r="A5" s="5" t="s">
        <v>18</v>
      </c>
      <c r="B5" s="59">
        <v>7026787</v>
      </c>
      <c r="H5" s="5" t="s">
        <v>19</v>
      </c>
      <c r="I5" s="7"/>
    </row>
    <row r="6" spans="1:9" ht="15" thickBot="1" x14ac:dyDescent="0.35">
      <c r="A6" s="8"/>
      <c r="B6" s="9"/>
      <c r="H6" s="8" t="s">
        <v>20</v>
      </c>
      <c r="I6" s="9"/>
    </row>
    <row r="9" spans="1:9" ht="21" x14ac:dyDescent="0.4">
      <c r="B9" s="69" t="s">
        <v>0</v>
      </c>
      <c r="C9" s="69"/>
      <c r="D9" s="69"/>
    </row>
    <row r="11" spans="1:9" x14ac:dyDescent="0.3">
      <c r="A11" t="s">
        <v>55</v>
      </c>
    </row>
    <row r="13" spans="1:9" ht="21" x14ac:dyDescent="0.4">
      <c r="A13" s="54" t="s">
        <v>1</v>
      </c>
      <c r="B13" s="54" t="s">
        <v>2</v>
      </c>
      <c r="C13" s="54" t="s">
        <v>3</v>
      </c>
      <c r="D13" s="54" t="s">
        <v>21</v>
      </c>
    </row>
    <row r="14" spans="1:9" ht="21" x14ac:dyDescent="0.4">
      <c r="A14" s="69" t="s">
        <v>33</v>
      </c>
      <c r="B14" s="69"/>
      <c r="C14" s="69"/>
      <c r="D14" s="69"/>
    </row>
    <row r="15" spans="1:9" x14ac:dyDescent="0.3">
      <c r="A15">
        <v>1</v>
      </c>
      <c r="B15" s="55" t="s">
        <v>10</v>
      </c>
      <c r="C15" s="70"/>
      <c r="D15" s="58" t="s">
        <v>91</v>
      </c>
    </row>
    <row r="16" spans="1:9" x14ac:dyDescent="0.3">
      <c r="A16">
        <f t="shared" ref="A16:A78" si="0">A15+1</f>
        <v>2</v>
      </c>
      <c r="B16" s="55" t="s">
        <v>56</v>
      </c>
      <c r="C16" s="70"/>
      <c r="D16" s="58" t="s">
        <v>92</v>
      </c>
    </row>
    <row r="17" spans="1:4" x14ac:dyDescent="0.3">
      <c r="A17">
        <f t="shared" si="0"/>
        <v>3</v>
      </c>
      <c r="B17" s="55" t="s">
        <v>57</v>
      </c>
      <c r="C17" s="70"/>
      <c r="D17" s="58" t="s">
        <v>91</v>
      </c>
    </row>
    <row r="18" spans="1:4" x14ac:dyDescent="0.3">
      <c r="A18">
        <f t="shared" si="0"/>
        <v>4</v>
      </c>
      <c r="B18" s="55" t="s">
        <v>4</v>
      </c>
      <c r="C18" s="70"/>
      <c r="D18" s="58" t="s">
        <v>91</v>
      </c>
    </row>
    <row r="19" spans="1:4" x14ac:dyDescent="0.3">
      <c r="A19">
        <f t="shared" si="0"/>
        <v>5</v>
      </c>
      <c r="B19" s="55" t="s">
        <v>5</v>
      </c>
      <c r="C19" s="70"/>
      <c r="D19" s="58" t="s">
        <v>92</v>
      </c>
    </row>
    <row r="20" spans="1:4" x14ac:dyDescent="0.3">
      <c r="A20">
        <f t="shared" si="0"/>
        <v>6</v>
      </c>
      <c r="B20" s="55" t="s">
        <v>7</v>
      </c>
      <c r="C20" s="70"/>
      <c r="D20" s="58" t="s">
        <v>92</v>
      </c>
    </row>
    <row r="21" spans="1:4" x14ac:dyDescent="0.3">
      <c r="A21">
        <f t="shared" si="0"/>
        <v>7</v>
      </c>
      <c r="B21" s="55" t="s">
        <v>58</v>
      </c>
      <c r="C21" s="70"/>
      <c r="D21" s="58" t="s">
        <v>91</v>
      </c>
    </row>
    <row r="22" spans="1:4" x14ac:dyDescent="0.3">
      <c r="A22">
        <f t="shared" si="0"/>
        <v>8</v>
      </c>
      <c r="B22" s="55" t="s">
        <v>6</v>
      </c>
      <c r="C22" s="70"/>
      <c r="D22" s="58" t="s">
        <v>91</v>
      </c>
    </row>
    <row r="23" spans="1:4" x14ac:dyDescent="0.3">
      <c r="A23">
        <f t="shared" si="0"/>
        <v>9</v>
      </c>
      <c r="B23" s="55" t="s">
        <v>8</v>
      </c>
      <c r="C23" s="70"/>
      <c r="D23" s="58" t="s">
        <v>91</v>
      </c>
    </row>
    <row r="24" spans="1:4" x14ac:dyDescent="0.3">
      <c r="A24">
        <f t="shared" si="0"/>
        <v>10</v>
      </c>
      <c r="B24" s="55" t="s">
        <v>9</v>
      </c>
      <c r="C24" s="70"/>
      <c r="D24" s="58" t="s">
        <v>91</v>
      </c>
    </row>
    <row r="25" spans="1:4" x14ac:dyDescent="0.3">
      <c r="A25">
        <f t="shared" si="0"/>
        <v>11</v>
      </c>
      <c r="B25" s="55" t="s">
        <v>69</v>
      </c>
      <c r="C25" s="70"/>
      <c r="D25" s="58" t="s">
        <v>91</v>
      </c>
    </row>
    <row r="26" spans="1:4" x14ac:dyDescent="0.3">
      <c r="A26">
        <f t="shared" si="0"/>
        <v>12</v>
      </c>
      <c r="B26" t="s">
        <v>22</v>
      </c>
      <c r="C26" s="71"/>
      <c r="D26" s="57" t="s">
        <v>93</v>
      </c>
    </row>
    <row r="27" spans="1:4" x14ac:dyDescent="0.3">
      <c r="A27">
        <f t="shared" si="0"/>
        <v>13</v>
      </c>
      <c r="B27" t="s">
        <v>12</v>
      </c>
      <c r="C27" s="71"/>
      <c r="D27" s="57" t="s">
        <v>93</v>
      </c>
    </row>
    <row r="28" spans="1:4" x14ac:dyDescent="0.3">
      <c r="A28">
        <f t="shared" si="0"/>
        <v>14</v>
      </c>
      <c r="B28" t="s">
        <v>64</v>
      </c>
      <c r="C28" s="71"/>
      <c r="D28" s="57" t="s">
        <v>93</v>
      </c>
    </row>
    <row r="29" spans="1:4" x14ac:dyDescent="0.3">
      <c r="A29">
        <f t="shared" si="0"/>
        <v>15</v>
      </c>
      <c r="B29" t="s">
        <v>65</v>
      </c>
      <c r="C29" s="71"/>
      <c r="D29" s="57" t="s">
        <v>93</v>
      </c>
    </row>
    <row r="30" spans="1:4" x14ac:dyDescent="0.3">
      <c r="A30">
        <f t="shared" si="0"/>
        <v>16</v>
      </c>
      <c r="B30" t="s">
        <v>59</v>
      </c>
      <c r="C30" s="71"/>
      <c r="D30" s="57" t="s">
        <v>93</v>
      </c>
    </row>
    <row r="31" spans="1:4" x14ac:dyDescent="0.3">
      <c r="A31">
        <f t="shared" si="0"/>
        <v>17</v>
      </c>
      <c r="B31" t="s">
        <v>66</v>
      </c>
      <c r="C31" s="71"/>
      <c r="D31" s="57" t="s">
        <v>93</v>
      </c>
    </row>
    <row r="32" spans="1:4" x14ac:dyDescent="0.3">
      <c r="A32">
        <f t="shared" si="0"/>
        <v>18</v>
      </c>
      <c r="B32" t="s">
        <v>67</v>
      </c>
      <c r="C32" s="71"/>
      <c r="D32" s="57" t="s">
        <v>94</v>
      </c>
    </row>
    <row r="33" spans="1:4" x14ac:dyDescent="0.3">
      <c r="A33">
        <f t="shared" si="0"/>
        <v>19</v>
      </c>
      <c r="B33" t="s">
        <v>23</v>
      </c>
      <c r="C33" s="71"/>
      <c r="D33" s="57" t="s">
        <v>94</v>
      </c>
    </row>
    <row r="34" spans="1:4" x14ac:dyDescent="0.3">
      <c r="A34">
        <f t="shared" si="0"/>
        <v>20</v>
      </c>
      <c r="B34" s="55" t="s">
        <v>24</v>
      </c>
      <c r="C34" s="70"/>
      <c r="D34" s="57" t="s">
        <v>95</v>
      </c>
    </row>
    <row r="35" spans="1:4" x14ac:dyDescent="0.3">
      <c r="A35">
        <f t="shared" si="0"/>
        <v>21</v>
      </c>
      <c r="B35" s="55" t="s">
        <v>27</v>
      </c>
      <c r="C35" s="70"/>
      <c r="D35" s="57" t="s">
        <v>95</v>
      </c>
    </row>
    <row r="36" spans="1:4" x14ac:dyDescent="0.3">
      <c r="A36">
        <f t="shared" si="0"/>
        <v>22</v>
      </c>
      <c r="B36" s="55" t="s">
        <v>25</v>
      </c>
      <c r="C36" s="70"/>
      <c r="D36" s="57" t="s">
        <v>95</v>
      </c>
    </row>
    <row r="37" spans="1:4" x14ac:dyDescent="0.3">
      <c r="A37">
        <f t="shared" si="0"/>
        <v>23</v>
      </c>
      <c r="B37" s="55" t="s">
        <v>68</v>
      </c>
      <c r="C37" s="70"/>
      <c r="D37" s="57" t="s">
        <v>95</v>
      </c>
    </row>
    <row r="38" spans="1:4" ht="21" x14ac:dyDescent="0.4">
      <c r="A38" s="69" t="s">
        <v>34</v>
      </c>
      <c r="B38" s="69"/>
      <c r="C38" s="69"/>
      <c r="D38" s="69"/>
    </row>
    <row r="39" spans="1:4" x14ac:dyDescent="0.3">
      <c r="A39">
        <f>A37+1</f>
        <v>24</v>
      </c>
      <c r="B39" t="s">
        <v>26</v>
      </c>
      <c r="C39" s="71"/>
      <c r="D39" s="57" t="s">
        <v>96</v>
      </c>
    </row>
    <row r="40" spans="1:4" x14ac:dyDescent="0.3">
      <c r="A40">
        <f t="shared" si="0"/>
        <v>25</v>
      </c>
      <c r="B40" t="s">
        <v>28</v>
      </c>
      <c r="C40" s="71"/>
      <c r="D40" s="57" t="s">
        <v>96</v>
      </c>
    </row>
    <row r="41" spans="1:4" x14ac:dyDescent="0.3">
      <c r="A41">
        <f t="shared" si="0"/>
        <v>26</v>
      </c>
      <c r="B41" t="s">
        <v>29</v>
      </c>
      <c r="C41" s="71"/>
      <c r="D41" s="57" t="s">
        <v>96</v>
      </c>
    </row>
    <row r="42" spans="1:4" x14ac:dyDescent="0.3">
      <c r="A42">
        <f t="shared" si="0"/>
        <v>27</v>
      </c>
      <c r="B42" t="s">
        <v>38</v>
      </c>
      <c r="C42" s="71"/>
      <c r="D42" s="57" t="s">
        <v>96</v>
      </c>
    </row>
    <row r="43" spans="1:4" x14ac:dyDescent="0.3">
      <c r="A43">
        <f t="shared" si="0"/>
        <v>28</v>
      </c>
      <c r="B43" t="s">
        <v>40</v>
      </c>
      <c r="C43" s="71"/>
      <c r="D43" s="57" t="s">
        <v>96</v>
      </c>
    </row>
    <row r="44" spans="1:4" x14ac:dyDescent="0.3">
      <c r="A44">
        <f t="shared" si="0"/>
        <v>29</v>
      </c>
      <c r="B44" t="s">
        <v>85</v>
      </c>
      <c r="C44" s="71"/>
      <c r="D44" s="57" t="s">
        <v>97</v>
      </c>
    </row>
    <row r="45" spans="1:4" x14ac:dyDescent="0.3">
      <c r="A45">
        <f t="shared" si="0"/>
        <v>30</v>
      </c>
      <c r="B45" t="s">
        <v>84</v>
      </c>
      <c r="C45" s="71"/>
      <c r="D45" s="57" t="s">
        <v>97</v>
      </c>
    </row>
    <row r="46" spans="1:4" ht="15" customHeight="1" x14ac:dyDescent="0.3">
      <c r="A46">
        <f t="shared" si="0"/>
        <v>31</v>
      </c>
      <c r="B46" s="55" t="s">
        <v>70</v>
      </c>
      <c r="C46" s="72"/>
      <c r="D46" s="57" t="s">
        <v>97</v>
      </c>
    </row>
    <row r="47" spans="1:4" x14ac:dyDescent="0.3">
      <c r="A47">
        <f t="shared" si="0"/>
        <v>32</v>
      </c>
      <c r="B47" s="55" t="s">
        <v>71</v>
      </c>
      <c r="C47" s="72"/>
      <c r="D47" s="57" t="s">
        <v>97</v>
      </c>
    </row>
    <row r="48" spans="1:4" x14ac:dyDescent="0.3">
      <c r="A48">
        <f t="shared" si="0"/>
        <v>33</v>
      </c>
      <c r="B48" s="55" t="s">
        <v>72</v>
      </c>
      <c r="C48" s="72"/>
      <c r="D48" s="57" t="s">
        <v>97</v>
      </c>
    </row>
    <row r="49" spans="1:4" x14ac:dyDescent="0.3">
      <c r="A49">
        <f t="shared" si="0"/>
        <v>34</v>
      </c>
      <c r="B49" s="55" t="s">
        <v>73</v>
      </c>
      <c r="C49" s="72"/>
      <c r="D49" s="57" t="s">
        <v>97</v>
      </c>
    </row>
    <row r="50" spans="1:4" x14ac:dyDescent="0.3">
      <c r="A50">
        <f t="shared" si="0"/>
        <v>35</v>
      </c>
      <c r="B50" t="s">
        <v>74</v>
      </c>
      <c r="C50" s="73"/>
      <c r="D50" s="57" t="s">
        <v>98</v>
      </c>
    </row>
    <row r="51" spans="1:4" x14ac:dyDescent="0.3">
      <c r="A51">
        <f t="shared" si="0"/>
        <v>36</v>
      </c>
      <c r="B51" t="s">
        <v>75</v>
      </c>
      <c r="C51" s="73"/>
      <c r="D51" s="57" t="s">
        <v>98</v>
      </c>
    </row>
    <row r="52" spans="1:4" x14ac:dyDescent="0.3">
      <c r="A52">
        <f t="shared" si="0"/>
        <v>37</v>
      </c>
      <c r="B52" t="s">
        <v>86</v>
      </c>
      <c r="C52" s="73"/>
      <c r="D52" s="57" t="s">
        <v>98</v>
      </c>
    </row>
    <row r="53" spans="1:4" x14ac:dyDescent="0.3">
      <c r="A53">
        <f t="shared" si="0"/>
        <v>38</v>
      </c>
      <c r="B53" s="55" t="str">
        <f>[1]Report!$A$207</f>
        <v>Homework "Literature"</v>
      </c>
      <c r="C53" s="72"/>
      <c r="D53" s="57" t="s">
        <v>99</v>
      </c>
    </row>
    <row r="54" spans="1:4" x14ac:dyDescent="0.3">
      <c r="A54">
        <f t="shared" si="0"/>
        <v>39</v>
      </c>
      <c r="B54" s="55" t="s">
        <v>76</v>
      </c>
      <c r="C54" s="72"/>
      <c r="D54" s="57" t="s">
        <v>99</v>
      </c>
    </row>
    <row r="55" spans="1:4" x14ac:dyDescent="0.3">
      <c r="A55">
        <f t="shared" si="0"/>
        <v>40</v>
      </c>
      <c r="B55" s="55" t="s">
        <v>80</v>
      </c>
      <c r="C55" s="72"/>
      <c r="D55" s="57" t="s">
        <v>99</v>
      </c>
    </row>
    <row r="56" spans="1:4" x14ac:dyDescent="0.3">
      <c r="A56">
        <f t="shared" si="0"/>
        <v>41</v>
      </c>
      <c r="B56" t="s">
        <v>79</v>
      </c>
      <c r="C56" s="73"/>
      <c r="D56" s="57" t="s">
        <v>100</v>
      </c>
    </row>
    <row r="57" spans="1:4" x14ac:dyDescent="0.3">
      <c r="A57">
        <f t="shared" si="0"/>
        <v>42</v>
      </c>
      <c r="B57" t="s">
        <v>81</v>
      </c>
      <c r="C57" s="73"/>
      <c r="D57" s="57" t="s">
        <v>100</v>
      </c>
    </row>
    <row r="58" spans="1:4" x14ac:dyDescent="0.3">
      <c r="A58">
        <f>A57+1</f>
        <v>43</v>
      </c>
      <c r="B58" t="s">
        <v>77</v>
      </c>
      <c r="C58" s="73"/>
      <c r="D58" s="57" t="s">
        <v>159</v>
      </c>
    </row>
    <row r="59" spans="1:4" x14ac:dyDescent="0.3">
      <c r="A59">
        <f t="shared" si="0"/>
        <v>44</v>
      </c>
      <c r="B59" t="s">
        <v>78</v>
      </c>
      <c r="C59" s="73"/>
      <c r="D59" s="57" t="s">
        <v>161</v>
      </c>
    </row>
    <row r="60" spans="1:4" x14ac:dyDescent="0.3">
      <c r="A60">
        <f t="shared" si="0"/>
        <v>45</v>
      </c>
      <c r="B60" s="55" t="s">
        <v>82</v>
      </c>
      <c r="C60" s="72"/>
      <c r="D60" s="57" t="s">
        <v>160</v>
      </c>
    </row>
    <row r="61" spans="1:4" x14ac:dyDescent="0.3">
      <c r="A61">
        <f t="shared" si="0"/>
        <v>46</v>
      </c>
      <c r="B61" s="55" t="s">
        <v>83</v>
      </c>
      <c r="C61" s="72"/>
      <c r="D61" s="57" t="s">
        <v>162</v>
      </c>
    </row>
    <row r="62" spans="1:4" x14ac:dyDescent="0.3">
      <c r="A62">
        <f t="shared" si="0"/>
        <v>47</v>
      </c>
      <c r="B62" s="55" t="s">
        <v>88</v>
      </c>
      <c r="C62" s="72"/>
      <c r="D62" s="57" t="s">
        <v>162</v>
      </c>
    </row>
    <row r="63" spans="1:4" x14ac:dyDescent="0.3">
      <c r="A63">
        <f t="shared" si="0"/>
        <v>48</v>
      </c>
      <c r="B63" t="s">
        <v>87</v>
      </c>
      <c r="C63" s="73"/>
      <c r="D63" s="57" t="s">
        <v>163</v>
      </c>
    </row>
    <row r="64" spans="1:4" x14ac:dyDescent="0.3">
      <c r="A64">
        <f t="shared" si="0"/>
        <v>49</v>
      </c>
      <c r="B64" s="56" t="s">
        <v>89</v>
      </c>
      <c r="C64" s="73"/>
      <c r="D64" s="57" t="s">
        <v>163</v>
      </c>
    </row>
    <row r="65" spans="1:4" x14ac:dyDescent="0.3">
      <c r="A65">
        <f t="shared" si="0"/>
        <v>50</v>
      </c>
      <c r="B65" s="56" t="s">
        <v>90</v>
      </c>
      <c r="C65" s="73"/>
      <c r="D65" s="57" t="s">
        <v>163</v>
      </c>
    </row>
    <row r="66" spans="1:4" ht="21" x14ac:dyDescent="0.4">
      <c r="A66" s="69" t="s">
        <v>35</v>
      </c>
      <c r="B66" s="69"/>
      <c r="C66" s="69"/>
      <c r="D66" s="69"/>
    </row>
    <row r="67" spans="1:4" x14ac:dyDescent="0.3">
      <c r="A67">
        <f>A65+1</f>
        <v>51</v>
      </c>
      <c r="B67" t="s">
        <v>30</v>
      </c>
    </row>
    <row r="68" spans="1:4" x14ac:dyDescent="0.3">
      <c r="A68">
        <f t="shared" si="0"/>
        <v>52</v>
      </c>
      <c r="B68" t="s">
        <v>31</v>
      </c>
    </row>
    <row r="69" spans="1:4" x14ac:dyDescent="0.3">
      <c r="A69">
        <f t="shared" si="0"/>
        <v>53</v>
      </c>
      <c r="B69" t="s">
        <v>32</v>
      </c>
    </row>
    <row r="70" spans="1:4" x14ac:dyDescent="0.3">
      <c r="A70">
        <f t="shared" si="0"/>
        <v>54</v>
      </c>
      <c r="B70" t="s">
        <v>41</v>
      </c>
    </row>
    <row r="71" spans="1:4" x14ac:dyDescent="0.3">
      <c r="A71">
        <f>A70+1</f>
        <v>55</v>
      </c>
      <c r="B71" t="s">
        <v>37</v>
      </c>
    </row>
    <row r="72" spans="1:4" x14ac:dyDescent="0.3">
      <c r="A72">
        <f t="shared" si="0"/>
        <v>56</v>
      </c>
      <c r="B72" t="s">
        <v>36</v>
      </c>
    </row>
    <row r="73" spans="1:4" x14ac:dyDescent="0.3">
      <c r="A73">
        <f t="shared" si="0"/>
        <v>57</v>
      </c>
      <c r="B73" t="s">
        <v>39</v>
      </c>
    </row>
    <row r="74" spans="1:4" x14ac:dyDescent="0.3">
      <c r="A74">
        <f t="shared" si="0"/>
        <v>58</v>
      </c>
      <c r="B74" t="s">
        <v>42</v>
      </c>
    </row>
    <row r="75" spans="1:4" x14ac:dyDescent="0.3">
      <c r="A75">
        <f t="shared" si="0"/>
        <v>59</v>
      </c>
    </row>
    <row r="76" spans="1:4" x14ac:dyDescent="0.3">
      <c r="A76">
        <f t="shared" si="0"/>
        <v>60</v>
      </c>
    </row>
    <row r="77" spans="1:4" x14ac:dyDescent="0.3">
      <c r="A77">
        <f t="shared" si="0"/>
        <v>61</v>
      </c>
    </row>
    <row r="78" spans="1:4" x14ac:dyDescent="0.3">
      <c r="A78">
        <f t="shared" si="0"/>
        <v>62</v>
      </c>
    </row>
  </sheetData>
  <mergeCells count="14">
    <mergeCell ref="A14:D14"/>
    <mergeCell ref="A66:D66"/>
    <mergeCell ref="B9:D9"/>
    <mergeCell ref="A38:D38"/>
    <mergeCell ref="C15:C25"/>
    <mergeCell ref="C26:C33"/>
    <mergeCell ref="C34:C37"/>
    <mergeCell ref="C39:C45"/>
    <mergeCell ref="C46:C49"/>
    <mergeCell ref="C50:C52"/>
    <mergeCell ref="C53:C55"/>
    <mergeCell ref="C56:C59"/>
    <mergeCell ref="C60:C62"/>
    <mergeCell ref="C63:C65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4631E-BFAA-4009-BD16-4127F48B029A}">
  <dimension ref="A1:P42"/>
  <sheetViews>
    <sheetView workbookViewId="0">
      <selection activeCell="A9" sqref="A9"/>
    </sheetView>
  </sheetViews>
  <sheetFormatPr defaultColWidth="11.5546875" defaultRowHeight="14.4" x14ac:dyDescent="0.3"/>
  <cols>
    <col min="2" max="2" width="55.33203125" customWidth="1"/>
    <col min="3" max="3" width="14.6640625" customWidth="1"/>
    <col min="10" max="10" width="21.21875" customWidth="1"/>
    <col min="16" max="16" width="13.5546875" customWidth="1"/>
  </cols>
  <sheetData>
    <row r="1" spans="1:16" x14ac:dyDescent="0.3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x14ac:dyDescent="0.3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x14ac:dyDescent="0.3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spans="1:16" x14ac:dyDescent="0.3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16" x14ac:dyDescent="0.3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spans="1:16" x14ac:dyDescent="0.3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16" ht="15.6" x14ac:dyDescent="0.3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 ht="17.399999999999999" x14ac:dyDescent="0.3">
      <c r="A8" s="11"/>
      <c r="B8" s="11"/>
      <c r="C8" s="11"/>
      <c r="D8" s="74" t="s">
        <v>151</v>
      </c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</row>
    <row r="9" spans="1:16" ht="15.6" x14ac:dyDescent="0.3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 ht="15" thickBot="1" x14ac:dyDescent="0.35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5" thickTop="1" x14ac:dyDescent="0.3">
      <c r="A11" s="13"/>
      <c r="B11" s="61"/>
      <c r="C11" s="68" t="s">
        <v>152</v>
      </c>
      <c r="D11" s="64">
        <v>40</v>
      </c>
      <c r="E11" s="15">
        <v>41</v>
      </c>
      <c r="F11" s="15">
        <v>42</v>
      </c>
      <c r="G11" s="15">
        <v>43</v>
      </c>
      <c r="H11" s="15">
        <v>44</v>
      </c>
      <c r="I11" s="15">
        <v>45</v>
      </c>
      <c r="J11" s="15">
        <v>46</v>
      </c>
      <c r="K11" s="15">
        <v>47</v>
      </c>
      <c r="L11" s="15">
        <v>48</v>
      </c>
      <c r="M11" s="15">
        <v>49</v>
      </c>
      <c r="N11" s="15">
        <v>50</v>
      </c>
      <c r="O11" s="15">
        <v>51</v>
      </c>
      <c r="P11" s="15">
        <v>52</v>
      </c>
    </row>
    <row r="12" spans="1:16" x14ac:dyDescent="0.3">
      <c r="A12" s="16"/>
      <c r="B12" s="62"/>
      <c r="C12" s="68" t="s">
        <v>153</v>
      </c>
      <c r="D12" s="65">
        <v>1</v>
      </c>
      <c r="E12" s="19">
        <v>2</v>
      </c>
      <c r="F12" s="19">
        <v>3</v>
      </c>
      <c r="G12" s="19">
        <v>4</v>
      </c>
      <c r="H12" s="19">
        <v>5</v>
      </c>
      <c r="I12" s="19">
        <v>6</v>
      </c>
      <c r="J12" s="19">
        <v>7</v>
      </c>
      <c r="K12" s="19">
        <v>8</v>
      </c>
      <c r="L12" s="19">
        <v>9</v>
      </c>
      <c r="M12" s="19">
        <v>10</v>
      </c>
      <c r="N12" s="19">
        <v>11</v>
      </c>
      <c r="O12" s="19">
        <v>12</v>
      </c>
      <c r="P12" s="20">
        <v>13</v>
      </c>
    </row>
    <row r="13" spans="1:16" ht="15" thickBot="1" x14ac:dyDescent="0.35">
      <c r="A13" s="21" t="s">
        <v>46</v>
      </c>
      <c r="B13" s="63" t="s">
        <v>154</v>
      </c>
      <c r="C13" s="68" t="s">
        <v>43</v>
      </c>
      <c r="D13" s="66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6"/>
    </row>
    <row r="14" spans="1:16" x14ac:dyDescent="0.3">
      <c r="A14" s="27">
        <v>1</v>
      </c>
      <c r="B14" s="28" t="s">
        <v>135</v>
      </c>
      <c r="C14" s="67">
        <v>1</v>
      </c>
      <c r="D14" s="30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2"/>
    </row>
    <row r="15" spans="1:16" x14ac:dyDescent="0.3">
      <c r="A15" s="33">
        <f>A14+1</f>
        <v>2</v>
      </c>
      <c r="B15" s="34" t="s">
        <v>136</v>
      </c>
      <c r="C15" s="35">
        <v>1</v>
      </c>
      <c r="D15" s="36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8"/>
    </row>
    <row r="16" spans="1:16" x14ac:dyDescent="0.3">
      <c r="A16" s="33">
        <f t="shared" ref="A16:A28" si="0">A15+1</f>
        <v>3</v>
      </c>
      <c r="B16" s="34" t="s">
        <v>137</v>
      </c>
      <c r="C16" s="35">
        <v>2</v>
      </c>
      <c r="D16" s="36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8"/>
    </row>
    <row r="17" spans="1:16" x14ac:dyDescent="0.3">
      <c r="A17" s="33">
        <f t="shared" si="0"/>
        <v>4</v>
      </c>
      <c r="B17" s="34" t="s">
        <v>138</v>
      </c>
      <c r="C17" s="35">
        <v>3</v>
      </c>
      <c r="D17" s="36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8"/>
    </row>
    <row r="18" spans="1:16" x14ac:dyDescent="0.3">
      <c r="A18" s="33">
        <f t="shared" si="0"/>
        <v>5</v>
      </c>
      <c r="B18" s="34" t="s">
        <v>139</v>
      </c>
      <c r="C18" s="35">
        <v>4</v>
      </c>
      <c r="D18" s="36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8"/>
    </row>
    <row r="19" spans="1:16" x14ac:dyDescent="0.3">
      <c r="A19" s="33">
        <f t="shared" si="0"/>
        <v>6</v>
      </c>
      <c r="B19" s="34" t="s">
        <v>140</v>
      </c>
      <c r="C19" s="35">
        <v>5</v>
      </c>
      <c r="D19" s="36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8"/>
    </row>
    <row r="20" spans="1:16" x14ac:dyDescent="0.3">
      <c r="A20" s="33">
        <f t="shared" si="0"/>
        <v>7</v>
      </c>
      <c r="B20" s="34" t="s">
        <v>141</v>
      </c>
      <c r="C20" s="35">
        <v>5</v>
      </c>
      <c r="D20" s="36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8"/>
    </row>
    <row r="21" spans="1:16" x14ac:dyDescent="0.3">
      <c r="A21" s="33">
        <f t="shared" si="0"/>
        <v>8</v>
      </c>
      <c r="B21" s="34" t="s">
        <v>142</v>
      </c>
      <c r="C21" s="35">
        <v>6</v>
      </c>
      <c r="D21" s="36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8"/>
    </row>
    <row r="22" spans="1:16" x14ac:dyDescent="0.3">
      <c r="A22" s="33">
        <f t="shared" si="0"/>
        <v>9</v>
      </c>
      <c r="B22" t="s">
        <v>149</v>
      </c>
      <c r="C22" s="35">
        <v>7</v>
      </c>
      <c r="D22" s="36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8"/>
    </row>
    <row r="23" spans="1:16" x14ac:dyDescent="0.3">
      <c r="A23" s="33">
        <f t="shared" si="0"/>
        <v>10</v>
      </c>
      <c r="B23" s="34" t="s">
        <v>143</v>
      </c>
      <c r="C23" s="35">
        <v>8</v>
      </c>
      <c r="D23" s="36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8"/>
    </row>
    <row r="24" spans="1:16" x14ac:dyDescent="0.3">
      <c r="A24" s="33">
        <f t="shared" si="0"/>
        <v>11</v>
      </c>
      <c r="B24" t="s">
        <v>144</v>
      </c>
      <c r="C24" s="35">
        <v>9</v>
      </c>
      <c r="D24" s="36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8"/>
    </row>
    <row r="25" spans="1:16" x14ac:dyDescent="0.3">
      <c r="A25" s="33">
        <f t="shared" si="0"/>
        <v>12</v>
      </c>
      <c r="B25" t="s">
        <v>145</v>
      </c>
      <c r="C25" s="35">
        <v>10</v>
      </c>
      <c r="D25" s="36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8"/>
    </row>
    <row r="26" spans="1:16" x14ac:dyDescent="0.3">
      <c r="A26" s="33">
        <f t="shared" si="0"/>
        <v>13</v>
      </c>
      <c r="B26" t="s">
        <v>146</v>
      </c>
      <c r="C26" s="35">
        <v>11</v>
      </c>
      <c r="D26" s="36"/>
      <c r="E26" s="37"/>
      <c r="F26" s="37"/>
      <c r="G26" s="37"/>
      <c r="H26" s="37"/>
      <c r="I26" s="37"/>
      <c r="J26" s="37"/>
      <c r="K26" s="37"/>
      <c r="L26" s="37"/>
      <c r="M26" s="37"/>
      <c r="N26" s="37" t="s">
        <v>158</v>
      </c>
      <c r="O26" s="37"/>
      <c r="P26" s="38"/>
    </row>
    <row r="27" spans="1:16" x14ac:dyDescent="0.3">
      <c r="A27" s="33">
        <f t="shared" si="0"/>
        <v>14</v>
      </c>
      <c r="B27" t="s">
        <v>147</v>
      </c>
      <c r="C27" s="35">
        <v>12</v>
      </c>
      <c r="D27" s="36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8"/>
    </row>
    <row r="28" spans="1:16" x14ac:dyDescent="0.3">
      <c r="A28" s="33">
        <f t="shared" si="0"/>
        <v>15</v>
      </c>
      <c r="B28" t="s">
        <v>148</v>
      </c>
      <c r="C28" s="35">
        <v>13</v>
      </c>
      <c r="D28" s="36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8"/>
    </row>
    <row r="29" spans="1:16" x14ac:dyDescent="0.3">
      <c r="A29" s="11"/>
      <c r="C29" s="44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1:16" ht="15" thickBot="1" x14ac:dyDescent="0.35">
      <c r="A30" s="11"/>
      <c r="C30" s="44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1:16" ht="15" thickTop="1" x14ac:dyDescent="0.3">
      <c r="A31" s="45"/>
      <c r="B31" s="46"/>
      <c r="C31" s="47"/>
      <c r="D31" s="48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11" t="s">
        <v>150</v>
      </c>
    </row>
    <row r="32" spans="1:16" x14ac:dyDescent="0.3">
      <c r="A32" s="33"/>
      <c r="B32" s="34"/>
      <c r="C32" s="35"/>
      <c r="D32" s="36" t="s">
        <v>133</v>
      </c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51"/>
      <c r="P32" s="36" t="s">
        <v>126</v>
      </c>
    </row>
    <row r="33" spans="1:16" ht="53.4" thickBot="1" x14ac:dyDescent="0.35">
      <c r="A33" s="39"/>
      <c r="B33" s="40"/>
      <c r="C33" s="41"/>
      <c r="D33" s="42"/>
      <c r="E33" s="60" t="s">
        <v>122</v>
      </c>
      <c r="F33" s="60" t="s">
        <v>123</v>
      </c>
      <c r="G33" s="60" t="s">
        <v>124</v>
      </c>
      <c r="H33" s="60" t="s">
        <v>125</v>
      </c>
      <c r="I33" s="60" t="s">
        <v>134</v>
      </c>
      <c r="J33" s="60" t="s">
        <v>155</v>
      </c>
      <c r="K33" s="60" t="s">
        <v>131</v>
      </c>
      <c r="L33" s="60" t="s">
        <v>130</v>
      </c>
      <c r="M33" s="60" t="s">
        <v>156</v>
      </c>
      <c r="N33" s="60" t="s">
        <v>129</v>
      </c>
      <c r="O33" s="60" t="s">
        <v>157</v>
      </c>
      <c r="P33" s="43"/>
    </row>
    <row r="34" spans="1:16" ht="15" thickTop="1" x14ac:dyDescent="0.3">
      <c r="A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</row>
    <row r="35" spans="1:16" x14ac:dyDescent="0.3">
      <c r="A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 spans="1:16" x14ac:dyDescent="0.3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1:16" x14ac:dyDescent="0.3">
      <c r="A37" s="11"/>
      <c r="B37" s="52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spans="1:16" x14ac:dyDescent="0.3">
      <c r="A38" s="11"/>
      <c r="D38" s="11"/>
      <c r="E38" s="11"/>
      <c r="F38" s="11"/>
      <c r="G38" s="11"/>
      <c r="H38" s="11"/>
      <c r="I38" s="11"/>
      <c r="J38" s="11"/>
      <c r="K38" s="53"/>
      <c r="L38" s="11"/>
      <c r="M38" s="11"/>
      <c r="N38" s="11"/>
      <c r="O38" s="11"/>
      <c r="P38" s="11"/>
    </row>
    <row r="39" spans="1:16" x14ac:dyDescent="0.3">
      <c r="A39" s="11"/>
      <c r="B39" s="52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spans="1:16" x14ac:dyDescent="0.3">
      <c r="A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</row>
    <row r="41" spans="1:16" x14ac:dyDescent="0.3">
      <c r="A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spans="1:16" x14ac:dyDescent="0.3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</sheetData>
  <mergeCells count="1">
    <mergeCell ref="D8:P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2"/>
  <sheetViews>
    <sheetView topLeftCell="F12" zoomScaleNormal="100" workbookViewId="0">
      <selection activeCell="K21" sqref="K21:O27"/>
    </sheetView>
  </sheetViews>
  <sheetFormatPr defaultColWidth="11.5546875" defaultRowHeight="14.4" x14ac:dyDescent="0.3"/>
  <cols>
    <col min="2" max="2" width="55.33203125" customWidth="1"/>
    <col min="4" max="4" width="11.5546875" customWidth="1"/>
    <col min="8" max="9" width="11.5546875" customWidth="1"/>
    <col min="10" max="10" width="20.109375" bestFit="1" customWidth="1"/>
    <col min="11" max="11" width="11.5546875" customWidth="1"/>
  </cols>
  <sheetData>
    <row r="1" spans="1:16" x14ac:dyDescent="0.3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x14ac:dyDescent="0.3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x14ac:dyDescent="0.3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spans="1:16" x14ac:dyDescent="0.3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16" x14ac:dyDescent="0.3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spans="1:16" x14ac:dyDescent="0.3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16" ht="15.6" x14ac:dyDescent="0.3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 ht="17.399999999999999" x14ac:dyDescent="0.3">
      <c r="A8" s="11"/>
      <c r="B8" s="11"/>
      <c r="C8" s="11"/>
      <c r="D8" s="74" t="s">
        <v>101</v>
      </c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</row>
    <row r="9" spans="1:16" ht="15.6" x14ac:dyDescent="0.3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 ht="15" thickBot="1" x14ac:dyDescent="0.35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5" thickTop="1" x14ac:dyDescent="0.3">
      <c r="A11" s="13"/>
      <c r="B11" s="14"/>
      <c r="C11" s="14" t="s">
        <v>44</v>
      </c>
      <c r="D11" s="15">
        <v>40</v>
      </c>
      <c r="E11" s="15">
        <v>41</v>
      </c>
      <c r="F11" s="15">
        <v>42</v>
      </c>
      <c r="G11" s="15">
        <v>43</v>
      </c>
      <c r="H11" s="15">
        <v>44</v>
      </c>
      <c r="I11" s="15">
        <v>45</v>
      </c>
      <c r="J11" s="15">
        <v>46</v>
      </c>
      <c r="K11" s="15">
        <v>47</v>
      </c>
      <c r="L11" s="15">
        <v>48</v>
      </c>
      <c r="M11" s="15">
        <v>49</v>
      </c>
      <c r="N11" s="15">
        <v>50</v>
      </c>
      <c r="O11" s="15">
        <v>51</v>
      </c>
      <c r="P11" s="15">
        <v>52</v>
      </c>
    </row>
    <row r="12" spans="1:16" x14ac:dyDescent="0.3">
      <c r="A12" s="16"/>
      <c r="B12" s="17"/>
      <c r="C12" s="17" t="s">
        <v>45</v>
      </c>
      <c r="D12" s="18">
        <v>1</v>
      </c>
      <c r="E12" s="19">
        <v>2</v>
      </c>
      <c r="F12" s="19">
        <v>3</v>
      </c>
      <c r="G12" s="19">
        <v>4</v>
      </c>
      <c r="H12" s="19">
        <v>5</v>
      </c>
      <c r="I12" s="19">
        <v>6</v>
      </c>
      <c r="J12" s="19">
        <v>7</v>
      </c>
      <c r="K12" s="19">
        <v>8</v>
      </c>
      <c r="L12" s="19">
        <v>9</v>
      </c>
      <c r="M12" s="19">
        <v>10</v>
      </c>
      <c r="N12" s="19">
        <v>11</v>
      </c>
      <c r="O12" s="19">
        <v>12</v>
      </c>
      <c r="P12" s="20">
        <v>13</v>
      </c>
    </row>
    <row r="13" spans="1:16" ht="15" thickBot="1" x14ac:dyDescent="0.35">
      <c r="A13" s="21" t="s">
        <v>46</v>
      </c>
      <c r="B13" s="22" t="s">
        <v>47</v>
      </c>
      <c r="C13" s="23" t="s">
        <v>48</v>
      </c>
      <c r="D13" s="24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6"/>
    </row>
    <row r="14" spans="1:16" x14ac:dyDescent="0.3">
      <c r="A14" s="27">
        <v>1</v>
      </c>
      <c r="B14" s="28" t="s">
        <v>107</v>
      </c>
      <c r="C14" s="29">
        <v>1</v>
      </c>
      <c r="D14" s="30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2"/>
    </row>
    <row r="15" spans="1:16" x14ac:dyDescent="0.3">
      <c r="A15" s="33">
        <f>A14+1</f>
        <v>2</v>
      </c>
      <c r="B15" s="34" t="s">
        <v>106</v>
      </c>
      <c r="C15" s="35">
        <v>1</v>
      </c>
      <c r="D15" s="36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8"/>
    </row>
    <row r="16" spans="1:16" x14ac:dyDescent="0.3">
      <c r="A16" s="33">
        <f t="shared" ref="A16:A28" si="0">A15+1</f>
        <v>3</v>
      </c>
      <c r="B16" s="34" t="s">
        <v>108</v>
      </c>
      <c r="C16" s="35">
        <v>2</v>
      </c>
      <c r="D16" s="36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8"/>
    </row>
    <row r="17" spans="1:16" x14ac:dyDescent="0.3">
      <c r="A17" s="33">
        <f t="shared" si="0"/>
        <v>4</v>
      </c>
      <c r="B17" s="34" t="s">
        <v>109</v>
      </c>
      <c r="C17" s="35">
        <v>3</v>
      </c>
      <c r="D17" s="36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8"/>
    </row>
    <row r="18" spans="1:16" x14ac:dyDescent="0.3">
      <c r="A18" s="33">
        <f t="shared" si="0"/>
        <v>5</v>
      </c>
      <c r="B18" s="34" t="s">
        <v>110</v>
      </c>
      <c r="C18" s="35">
        <v>4</v>
      </c>
      <c r="D18" s="36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8"/>
    </row>
    <row r="19" spans="1:16" x14ac:dyDescent="0.3">
      <c r="A19" s="33">
        <f t="shared" si="0"/>
        <v>6</v>
      </c>
      <c r="B19" s="34" t="s">
        <v>111</v>
      </c>
      <c r="C19" s="35">
        <v>5</v>
      </c>
      <c r="D19" s="36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8"/>
    </row>
    <row r="20" spans="1:16" x14ac:dyDescent="0.3">
      <c r="A20" s="33">
        <f t="shared" si="0"/>
        <v>7</v>
      </c>
      <c r="B20" s="34" t="s">
        <v>112</v>
      </c>
      <c r="C20" s="35">
        <v>5</v>
      </c>
      <c r="D20" s="36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8"/>
    </row>
    <row r="21" spans="1:16" x14ac:dyDescent="0.3">
      <c r="A21" s="33">
        <f t="shared" si="0"/>
        <v>8</v>
      </c>
      <c r="B21" s="34" t="s">
        <v>113</v>
      </c>
      <c r="C21" s="35">
        <v>6</v>
      </c>
      <c r="D21" s="36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8"/>
    </row>
    <row r="22" spans="1:16" x14ac:dyDescent="0.3">
      <c r="A22" s="33">
        <f t="shared" si="0"/>
        <v>9</v>
      </c>
      <c r="B22" s="34" t="s">
        <v>114</v>
      </c>
      <c r="C22" s="35">
        <v>7</v>
      </c>
      <c r="D22" s="36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8"/>
    </row>
    <row r="23" spans="1:16" x14ac:dyDescent="0.3">
      <c r="A23" s="33">
        <f t="shared" si="0"/>
        <v>10</v>
      </c>
      <c r="B23" s="34" t="s">
        <v>115</v>
      </c>
      <c r="C23" s="35">
        <v>8</v>
      </c>
      <c r="D23" s="36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8"/>
    </row>
    <row r="24" spans="1:16" x14ac:dyDescent="0.3">
      <c r="A24" s="33">
        <f t="shared" si="0"/>
        <v>11</v>
      </c>
      <c r="B24" s="34" t="s">
        <v>116</v>
      </c>
      <c r="C24" s="35">
        <v>9</v>
      </c>
      <c r="D24" s="36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8"/>
    </row>
    <row r="25" spans="1:16" x14ac:dyDescent="0.3">
      <c r="A25" s="33">
        <f t="shared" si="0"/>
        <v>12</v>
      </c>
      <c r="B25" s="34" t="s">
        <v>117</v>
      </c>
      <c r="C25" s="35">
        <v>10</v>
      </c>
      <c r="D25" s="36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8"/>
    </row>
    <row r="26" spans="1:16" x14ac:dyDescent="0.3">
      <c r="A26" s="33">
        <f t="shared" si="0"/>
        <v>13</v>
      </c>
      <c r="B26" s="34" t="s">
        <v>118</v>
      </c>
      <c r="C26" s="35">
        <v>11</v>
      </c>
      <c r="D26" s="36"/>
      <c r="E26" s="37"/>
      <c r="F26" s="37"/>
      <c r="G26" s="37"/>
      <c r="H26" s="37"/>
      <c r="I26" s="37"/>
      <c r="J26" s="37"/>
      <c r="K26" s="37"/>
      <c r="L26" s="37"/>
      <c r="M26" s="37"/>
      <c r="N26" s="37" t="s">
        <v>158</v>
      </c>
      <c r="O26" s="37"/>
      <c r="P26" s="38"/>
    </row>
    <row r="27" spans="1:16" x14ac:dyDescent="0.3">
      <c r="A27" s="33">
        <f t="shared" si="0"/>
        <v>14</v>
      </c>
      <c r="B27" s="34" t="s">
        <v>119</v>
      </c>
      <c r="C27" s="35">
        <v>12</v>
      </c>
      <c r="D27" s="36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8"/>
    </row>
    <row r="28" spans="1:16" x14ac:dyDescent="0.3">
      <c r="A28" s="33">
        <f t="shared" si="0"/>
        <v>15</v>
      </c>
      <c r="B28" s="34" t="s">
        <v>120</v>
      </c>
      <c r="C28" s="35">
        <v>13</v>
      </c>
      <c r="D28" s="36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8"/>
    </row>
    <row r="29" spans="1:16" x14ac:dyDescent="0.3">
      <c r="A29" s="11"/>
      <c r="C29" s="44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1:16" ht="15" thickBot="1" x14ac:dyDescent="0.35">
      <c r="A30" s="11"/>
      <c r="C30" s="44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1:16" ht="15" thickTop="1" x14ac:dyDescent="0.3">
      <c r="A31" s="45"/>
      <c r="B31" s="46" t="s">
        <v>49</v>
      </c>
      <c r="C31" s="47"/>
      <c r="D31" s="48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50" t="s">
        <v>121</v>
      </c>
    </row>
    <row r="32" spans="1:16" x14ac:dyDescent="0.3">
      <c r="A32" s="33"/>
      <c r="B32" s="34" t="s">
        <v>50</v>
      </c>
      <c r="C32" s="35"/>
      <c r="D32" s="36" t="s">
        <v>133</v>
      </c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51"/>
      <c r="P32" s="36" t="s">
        <v>126</v>
      </c>
    </row>
    <row r="33" spans="1:16" ht="40.200000000000003" thickBot="1" x14ac:dyDescent="0.35">
      <c r="A33" s="39"/>
      <c r="B33" s="40" t="s">
        <v>51</v>
      </c>
      <c r="C33" s="41"/>
      <c r="D33" s="42"/>
      <c r="E33" s="60" t="s">
        <v>122</v>
      </c>
      <c r="F33" s="60" t="s">
        <v>123</v>
      </c>
      <c r="G33" s="60" t="s">
        <v>124</v>
      </c>
      <c r="H33" s="60" t="s">
        <v>125</v>
      </c>
      <c r="I33" s="60" t="s">
        <v>134</v>
      </c>
      <c r="J33" s="60" t="s">
        <v>132</v>
      </c>
      <c r="K33" s="60" t="s">
        <v>131</v>
      </c>
      <c r="L33" s="60" t="s">
        <v>130</v>
      </c>
      <c r="M33" s="60" t="s">
        <v>128</v>
      </c>
      <c r="N33" s="60" t="s">
        <v>129</v>
      </c>
      <c r="O33" s="60" t="s">
        <v>127</v>
      </c>
      <c r="P33" s="43"/>
    </row>
    <row r="34" spans="1:16" ht="15" thickTop="1" x14ac:dyDescent="0.3">
      <c r="A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</row>
    <row r="35" spans="1:16" x14ac:dyDescent="0.3">
      <c r="A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 spans="1:16" x14ac:dyDescent="0.3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1:16" x14ac:dyDescent="0.3">
      <c r="A37" s="11"/>
      <c r="B37" s="52" t="s">
        <v>52</v>
      </c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spans="1:16" x14ac:dyDescent="0.3">
      <c r="A38" s="11"/>
      <c r="D38" s="11"/>
      <c r="E38" s="11"/>
      <c r="F38" s="11"/>
      <c r="G38" s="11"/>
      <c r="H38" s="11"/>
      <c r="I38" s="11"/>
      <c r="J38" s="11"/>
      <c r="K38" s="53"/>
      <c r="L38" s="11"/>
      <c r="M38" s="11"/>
      <c r="N38" s="11"/>
      <c r="O38" s="11"/>
      <c r="P38" s="11"/>
    </row>
    <row r="39" spans="1:16" x14ac:dyDescent="0.3">
      <c r="A39" s="11"/>
      <c r="B39" s="52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spans="1:16" x14ac:dyDescent="0.3">
      <c r="A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</row>
    <row r="41" spans="1:16" x14ac:dyDescent="0.3">
      <c r="A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spans="1:16" x14ac:dyDescent="0.3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7:I25"/>
  <sheetViews>
    <sheetView topLeftCell="A5" workbookViewId="0">
      <selection activeCell="A5" sqref="A5"/>
    </sheetView>
  </sheetViews>
  <sheetFormatPr defaultColWidth="9.109375" defaultRowHeight="14.4" x14ac:dyDescent="0.3"/>
  <cols>
    <col min="2" max="2" width="29.44140625" bestFit="1" customWidth="1"/>
  </cols>
  <sheetData>
    <row r="7" spans="1:9" ht="23.4" x14ac:dyDescent="0.45">
      <c r="B7" s="1" t="s">
        <v>102</v>
      </c>
    </row>
    <row r="9" spans="1:9" ht="15" thickBot="1" x14ac:dyDescent="0.35"/>
    <row r="10" spans="1:9" x14ac:dyDescent="0.3">
      <c r="A10" s="2" t="s">
        <v>103</v>
      </c>
      <c r="B10" s="3" t="s">
        <v>104</v>
      </c>
      <c r="G10" s="4"/>
      <c r="H10" s="2" t="s">
        <v>17</v>
      </c>
      <c r="I10" s="3"/>
    </row>
    <row r="11" spans="1:9" x14ac:dyDescent="0.3">
      <c r="A11" s="5" t="s">
        <v>18</v>
      </c>
      <c r="B11" s="6">
        <v>7026787</v>
      </c>
      <c r="H11" s="5" t="s">
        <v>19</v>
      </c>
      <c r="I11" s="7"/>
    </row>
    <row r="12" spans="1:9" ht="15" thickBot="1" x14ac:dyDescent="0.35">
      <c r="A12" s="8"/>
      <c r="B12" s="9"/>
      <c r="H12" s="8" t="s">
        <v>20</v>
      </c>
      <c r="I12" s="9"/>
    </row>
    <row r="15" spans="1:9" ht="21" x14ac:dyDescent="0.4">
      <c r="B15" s="69" t="s">
        <v>53</v>
      </c>
      <c r="C15" s="69"/>
      <c r="D15" s="69"/>
    </row>
    <row r="18" spans="1:4" x14ac:dyDescent="0.3">
      <c r="A18" s="10" t="s">
        <v>14</v>
      </c>
      <c r="B18" s="10" t="s">
        <v>15</v>
      </c>
      <c r="C18" s="10" t="s">
        <v>3</v>
      </c>
      <c r="D18" s="10" t="s">
        <v>21</v>
      </c>
    </row>
    <row r="19" spans="1:4" x14ac:dyDescent="0.3">
      <c r="A19" t="s">
        <v>60</v>
      </c>
      <c r="B19" t="s">
        <v>11</v>
      </c>
    </row>
    <row r="20" spans="1:4" x14ac:dyDescent="0.3">
      <c r="B20" t="s">
        <v>62</v>
      </c>
    </row>
    <row r="21" spans="1:4" x14ac:dyDescent="0.3">
      <c r="B21" t="s">
        <v>12</v>
      </c>
    </row>
    <row r="22" spans="1:4" x14ac:dyDescent="0.3">
      <c r="B22" t="s">
        <v>13</v>
      </c>
    </row>
    <row r="23" spans="1:4" x14ac:dyDescent="0.3">
      <c r="B23" t="s">
        <v>61</v>
      </c>
    </row>
    <row r="24" spans="1:4" x14ac:dyDescent="0.3">
      <c r="B24" t="s">
        <v>63</v>
      </c>
    </row>
    <row r="25" spans="1:4" x14ac:dyDescent="0.3">
      <c r="B25" t="s">
        <v>54</v>
      </c>
    </row>
  </sheetData>
  <mergeCells count="1">
    <mergeCell ref="B15:D15"/>
  </mergeCells>
  <pageMargins left="0.7" right="0.7" top="0.75" bottom="0.75" header="0.3" footer="0.3"/>
  <pageSetup paperSize="9" orientation="portrait" verticalDpi="0" r:id="rId1"/>
  <drawing r:id="rId2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Checklist</vt:lpstr>
      <vt:lpstr>Projekt Plan V1.0 (deut.)</vt:lpstr>
      <vt:lpstr>Project Plan V1.0 (eng.)</vt:lpstr>
      <vt:lpstr>Resulting objects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2026-01-29T21:09:00Z</dcterms:modified>
</cp:coreProperties>
</file>