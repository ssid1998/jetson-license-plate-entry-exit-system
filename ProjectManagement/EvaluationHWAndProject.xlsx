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2"/>
  <workbookPr/>
  <mc:AlternateContent xmlns:mc="http://schemas.openxmlformats.org/markup-compatibility/2006">
    <mc:Choice Requires="x15">
      <x15ac:absPath xmlns:x15ac="http://schemas.microsoft.com/office/spreadsheetml/2010/11/ac" url="/Users/gautamramesh/Documents/githubNew/ML26-03-Car-Licence-Plate-Identification-with-a-Jetson-Nano/ProjectManagement/"/>
    </mc:Choice>
  </mc:AlternateContent>
  <xr:revisionPtr revIDLastSave="0" documentId="13_ncr:1_{9B2608F9-ABD7-E843-B7E2-806F76677C12}" xr6:coauthVersionLast="47" xr6:coauthVersionMax="47" xr10:uidLastSave="{00000000-0000-0000-0000-000000000000}"/>
  <bookViews>
    <workbookView xWindow="20280" yWindow="2480" windowWidth="25400" windowHeight="16760" xr2:uid="{00000000-000D-0000-FFFF-FFFF00000000}"/>
  </bookViews>
  <sheets>
    <sheet name="Report" sheetId="2" r:id="rId1"/>
    <sheet name="Project" sheetId="3" r:id="rId2"/>
    <sheet name="Formaliti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3" i="2" l="1"/>
  <c r="E545" i="2"/>
  <c r="E537" i="2"/>
  <c r="E528" i="2"/>
  <c r="E514" i="2"/>
  <c r="E500" i="2"/>
  <c r="E482" i="2"/>
  <c r="E477" i="2"/>
  <c r="E471" i="2"/>
  <c r="E463" i="2"/>
  <c r="E457" i="2"/>
  <c r="E438" i="2"/>
  <c r="E429" i="2"/>
  <c r="E418" i="2"/>
  <c r="E406" i="2"/>
  <c r="E388" i="2"/>
  <c r="E384" i="2"/>
  <c r="E371" i="2"/>
  <c r="E362" i="2"/>
  <c r="E352" i="2"/>
  <c r="E334" i="2"/>
  <c r="E324" i="2"/>
  <c r="E312" i="2"/>
  <c r="E301" i="2"/>
  <c r="E294" i="2"/>
  <c r="E285" i="2"/>
  <c r="E264" i="2"/>
  <c r="E256" i="2"/>
  <c r="E246" i="2"/>
  <c r="E235" i="2"/>
  <c r="E225" i="2"/>
  <c r="E215" i="2"/>
  <c r="E203" i="2"/>
  <c r="E198" i="2"/>
  <c r="E187" i="2"/>
  <c r="E175" i="2"/>
  <c r="E168" i="2"/>
  <c r="E162" i="2"/>
  <c r="E151" i="2"/>
  <c r="E141" i="2"/>
  <c r="E131" i="2"/>
  <c r="E120" i="2"/>
  <c r="E108" i="2"/>
  <c r="E97" i="2"/>
  <c r="E86" i="2"/>
  <c r="E78" i="2"/>
  <c r="E69" i="2"/>
  <c r="E52" i="2"/>
  <c r="F86" i="2"/>
  <c r="F246" i="2" l="1"/>
  <c r="F553" i="2"/>
  <c r="F545" i="2"/>
  <c r="F537" i="2"/>
  <c r="F463" i="2"/>
  <c r="F457" i="2"/>
  <c r="F447" i="2"/>
  <c r="E447" i="2"/>
  <c r="F312" i="2"/>
  <c r="F352" i="2"/>
  <c r="F334" i="2" l="1"/>
  <c r="F384" i="2"/>
  <c r="F482" i="2"/>
  <c r="F477" i="2"/>
  <c r="F471" i="2"/>
  <c r="F301" i="2" l="1"/>
  <c r="F285" i="2"/>
  <c r="F78" i="2"/>
  <c r="F97" i="2"/>
  <c r="F203" i="2"/>
  <c r="F198" i="2"/>
  <c r="F187" i="2"/>
  <c r="F175" i="2"/>
  <c r="F168" i="2"/>
  <c r="F215" i="2"/>
  <c r="F162" i="2" l="1"/>
  <c r="F151" i="2"/>
  <c r="F256" i="2"/>
  <c r="F264" i="2"/>
  <c r="F235" i="2"/>
  <c r="F225" i="2"/>
  <c r="F388" i="2"/>
  <c r="F69" i="2"/>
  <c r="F324" i="2" l="1"/>
  <c r="F294" i="2"/>
  <c r="F406" i="2" l="1"/>
  <c r="F528" i="2"/>
  <c r="F514" i="2"/>
  <c r="F500" i="2"/>
  <c r="F52" i="2"/>
  <c r="F362" i="2"/>
  <c r="F141" i="2"/>
  <c r="E557" i="2"/>
  <c r="F131" i="2"/>
  <c r="F557" i="2" l="1"/>
  <c r="F566" i="2"/>
  <c r="F567" i="2" s="1"/>
  <c r="F568" i="2" s="1"/>
  <c r="F569" i="2" s="1"/>
  <c r="F570" i="2" s="1"/>
  <c r="F571" i="2" s="1"/>
  <c r="F572" i="2" s="1"/>
  <c r="F573" i="2" s="1"/>
  <c r="F229" i="3"/>
  <c r="F230" i="3" s="1"/>
  <c r="F231" i="3" s="1"/>
  <c r="F232" i="3" s="1"/>
  <c r="F233" i="3" s="1"/>
  <c r="F234" i="3" s="1"/>
  <c r="F235" i="3" s="1"/>
  <c r="F236" i="3" s="1"/>
  <c r="E556" i="2" l="1"/>
  <c r="E559" i="2"/>
  <c r="E558" i="2"/>
  <c r="D212" i="3"/>
  <c r="D213" i="3" s="1"/>
  <c r="D190" i="3"/>
  <c r="D191" i="3" s="1"/>
  <c r="D178" i="3"/>
  <c r="D179" i="3" s="1"/>
  <c r="D170" i="3"/>
  <c r="D171" i="3" s="1"/>
  <c r="D162" i="3"/>
  <c r="D163" i="3" s="1"/>
  <c r="D154" i="3"/>
  <c r="D155" i="3" s="1"/>
  <c r="D149" i="3"/>
  <c r="D150" i="3" s="1"/>
  <c r="D142" i="3"/>
  <c r="D143" i="3" s="1"/>
  <c r="D133" i="3"/>
  <c r="D134" i="3" s="1"/>
  <c r="D124" i="3"/>
  <c r="D125" i="3" s="1"/>
  <c r="D114" i="3"/>
  <c r="D115" i="3" s="1"/>
  <c r="D104" i="3"/>
  <c r="D105" i="3" s="1"/>
  <c r="D94" i="3"/>
  <c r="D95" i="3" s="1"/>
  <c r="D90" i="3"/>
  <c r="D89" i="3"/>
  <c r="D76" i="3"/>
  <c r="D77" i="3" s="1"/>
  <c r="D67" i="3"/>
  <c r="D68" i="3" s="1"/>
  <c r="D60" i="3"/>
  <c r="D61" i="3"/>
  <c r="E61" i="3"/>
  <c r="D46" i="3"/>
  <c r="D47" i="3" s="1"/>
  <c r="D36" i="3"/>
  <c r="D37" i="3" s="1"/>
  <c r="D32" i="3"/>
  <c r="D33" i="3" s="1"/>
  <c r="E33" i="3"/>
  <c r="D218" i="3" l="1"/>
  <c r="D219" i="3"/>
  <c r="D221" i="3"/>
  <c r="D220" i="3"/>
  <c r="E143" i="3"/>
  <c r="E134" i="3"/>
  <c r="E171" i="3"/>
  <c r="E95" i="3"/>
  <c r="E90" i="3"/>
  <c r="E77" i="3"/>
  <c r="E68" i="3"/>
  <c r="E179" i="3"/>
  <c r="E191" i="3"/>
  <c r="E213" i="3"/>
  <c r="E163" i="3"/>
  <c r="E155" i="3"/>
  <c r="E150" i="3"/>
  <c r="E125" i="3"/>
  <c r="E115" i="3"/>
  <c r="E105" i="3"/>
  <c r="E47" i="3"/>
  <c r="E37" i="3"/>
  <c r="F371" i="2"/>
  <c r="F438" i="2"/>
  <c r="F429" i="2"/>
  <c r="F418" i="2"/>
  <c r="F556" i="2" l="1"/>
  <c r="E219" i="3"/>
  <c r="E221" i="3"/>
  <c r="G221" i="3" s="1"/>
  <c r="E218" i="3"/>
  <c r="G218" i="3" s="1"/>
  <c r="F120" i="2"/>
  <c r="F559" i="2" s="1"/>
  <c r="F108" i="2"/>
  <c r="F558" i="2" s="1"/>
  <c r="G219" i="3" l="1"/>
  <c r="H557" i="2"/>
  <c r="H559" i="2"/>
  <c r="H556" i="2"/>
  <c r="H558" i="2"/>
  <c r="B207" i="3"/>
  <c r="C207" i="3"/>
  <c r="C208" i="3"/>
  <c r="C209" i="3"/>
  <c r="C210" i="3"/>
  <c r="C211" i="3"/>
  <c r="E220" i="3"/>
  <c r="G22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87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J36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  <comment ref="J44" authorId="0" shapeId="0" xr:uid="{00000000-0006-0000-01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J45" authorId="0" shapeId="0" xr:uid="{00000000-0006-0000-0100-000003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200-000001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B15" authorId="0" shapeId="0" xr:uid="{00000000-0006-0000-02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  <comment ref="B34" authorId="0" shapeId="0" xr:uid="{00000000-0006-0000-02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<sst xmlns="http://schemas.openxmlformats.org/spreadsheetml/2006/main" count="882" uniqueCount="407">
  <si>
    <t>Literature</t>
  </si>
  <si>
    <t>key words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</si>
  <si>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</si>
  <si>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</si>
  <si>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</si>
  <si>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</si>
  <si>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</si>
  <si>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</si>
  <si>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</si>
  <si>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</si>
  <si>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</si>
  <si>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</si>
  <si>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</si>
  <si>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</si>
  <si>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</si>
  <si>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</si>
  <si>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</si>
  <si>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</si>
  <si>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</si>
  <si>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</si>
  <si>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</si>
  <si>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</si>
  <si>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</si>
  <si>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</si>
  <si>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</si>
  <si>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</si>
  <si>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</si>
  <si>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</si>
  <si>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</si>
  <si>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</si>
  <si>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</si>
  <si>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</si>
  <si>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</si>
  <si>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</si>
  <si>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</si>
  <si>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</si>
  <si>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Data</t>
  </si>
  <si>
    <t>size</t>
  </si>
  <si>
    <t>format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</si>
  <si>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</si>
  <si>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</si>
  <si>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</si>
  <si>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</si>
  <si>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</si>
  <si>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</si>
  <si>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</si>
  <si>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</si>
  <si>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What it is used for</t>
  </si>
  <si>
    <t>Overview</t>
  </si>
  <si>
    <t>Requirements</t>
  </si>
  <si>
    <t>Installation</t>
  </si>
  <si>
    <t>First Steps</t>
  </si>
  <si>
    <t>Example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</si>
  <si>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</si>
  <si>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</si>
  <si>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</si>
  <si>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</si>
  <si>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</si>
  <si>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</si>
  <si>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</si>
  <si>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</si>
  <si>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</si>
  <si>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description of important modules</t>
  </si>
  <si>
    <t>Package</t>
  </si>
  <si>
    <t xml:space="preserve">Introduction </t>
  </si>
  <si>
    <t>Description</t>
  </si>
  <si>
    <t>example - Manual</t>
  </si>
  <si>
    <t>Example - Version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</si>
  <si>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</si>
  <si>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</si>
  <si>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</si>
  <si>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</si>
  <si>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</si>
  <si>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</si>
  <si>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</si>
  <si>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kdd</t>
  </si>
  <si>
    <t>tool</t>
  </si>
  <si>
    <t>complettness</t>
  </si>
  <si>
    <t>Documentation developer</t>
  </si>
  <si>
    <t>ml pipeline</t>
  </si>
  <si>
    <t>spelling/punctuation/grammar</t>
  </si>
  <si>
    <t>&lt;Project Name&gt;</t>
  </si>
  <si>
    <t>Short Description</t>
  </si>
  <si>
    <t>The nice project is…</t>
  </si>
  <si>
    <t>github Project</t>
  </si>
  <si>
    <t>Author:</t>
  </si>
  <si>
    <t>Name</t>
  </si>
  <si>
    <t>Surname</t>
  </si>
  <si>
    <t>Matrikelnumber</t>
  </si>
  <si>
    <t>github Nickname</t>
  </si>
  <si>
    <t>Wings</t>
  </si>
  <si>
    <t>Elmar</t>
  </si>
  <si>
    <t>Study Course:</t>
  </si>
  <si>
    <t>Semester:</t>
  </si>
  <si>
    <t>Project Start:</t>
  </si>
  <si>
    <t>Planned Project End:</t>
  </si>
  <si>
    <t>Name of the module:</t>
  </si>
  <si>
    <t>CPs:</t>
  </si>
  <si>
    <t xml:space="preserve"> &lt;5&gt; or &lt;10&gt;</t>
  </si>
  <si>
    <t>Grading</t>
  </si>
  <si>
    <t>Sub Topic</t>
  </si>
  <si>
    <t>`++/+/0/-/--</t>
  </si>
  <si>
    <t>Further Reading</t>
  </si>
  <si>
    <t>Structure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</si>
  <si>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</si>
  <si>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</si>
  <si>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</si>
  <si>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</si>
  <si>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</si>
  <si>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</si>
  <si>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</si>
  <si>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</si>
  <si>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</si>
  <si>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</si>
  <si>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</si>
  <si>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</si>
  <si>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interfaces</t>
  </si>
  <si>
    <t>dimensions</t>
  </si>
  <si>
    <t>conclusions</t>
  </si>
  <si>
    <t>software</t>
  </si>
  <si>
    <t>os/interfaces/protocols</t>
  </si>
  <si>
    <t>data</t>
  </si>
  <si>
    <t>qualitiy</t>
  </si>
  <si>
    <t>quantity</t>
  </si>
  <si>
    <t>Documentation</t>
  </si>
  <si>
    <t>Improvements</t>
  </si>
  <si>
    <t>Additions</t>
  </si>
  <si>
    <t>requirements.txt</t>
  </si>
  <si>
    <t>minimal</t>
  </si>
  <si>
    <t>documentation</t>
  </si>
  <si>
    <t>Tests</t>
  </si>
  <si>
    <t>classes</t>
  </si>
  <si>
    <t>parts</t>
  </si>
  <si>
    <t>automation</t>
  </si>
  <si>
    <t>hardware</t>
  </si>
  <si>
    <t>poster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</si>
  <si>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</si>
  <si>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</si>
  <si>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</si>
  <si>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</si>
  <si>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</si>
  <si>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</si>
  <si>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</si>
  <si>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</si>
  <si>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</si>
  <si>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</si>
  <si>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</si>
  <si>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</si>
  <si>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</si>
  <si>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</si>
  <si>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</si>
  <si>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Tranlations</t>
  </si>
  <si>
    <t>1-1 translation</t>
  </si>
  <si>
    <t>rewrite as an engineer</t>
  </si>
  <si>
    <t>rewrite as an engineer with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</si>
  <si>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</si>
  <si>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</si>
  <si>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</si>
  <si>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</si>
  <si>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</si>
  <si>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</si>
  <si>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</si>
  <si>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</si>
  <si>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</si>
  <si>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</si>
  <si>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</si>
  <si>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</si>
  <si>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</si>
  <si>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</si>
  <si>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</si>
  <si>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</si>
  <si>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</si>
  <si>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</si>
  <si>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Programme Flowchart</t>
  </si>
  <si>
    <t>notation</t>
  </si>
  <si>
    <t>actual</t>
  </si>
  <si>
    <t>project management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</si>
  <si>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</si>
  <si>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</si>
  <si>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</si>
  <si>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</si>
  <si>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</si>
  <si>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</si>
  <si>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</si>
  <si>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</si>
  <si>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</si>
  <si>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</si>
  <si>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</si>
  <si>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</si>
  <si>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links</t>
  </si>
  <si>
    <t>project description</t>
  </si>
  <si>
    <t>idea(s)</t>
  </si>
  <si>
    <t>picture</t>
  </si>
  <si>
    <t>link</t>
  </si>
  <si>
    <t>prices</t>
  </si>
  <si>
    <t>complete</t>
  </si>
  <si>
    <t>thinking in components/modules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</si>
  <si>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</si>
  <si>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</si>
  <si>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</si>
  <si>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</si>
  <si>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</si>
  <si>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</si>
  <si>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</si>
  <si>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</si>
  <si>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</si>
  <si>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</si>
  <si>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</si>
  <si>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</si>
  <si>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</si>
  <si>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</si>
  <si>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</si>
  <si>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</si>
  <si>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</si>
  <si>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</si>
  <si>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</si>
  <si>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</si>
  <si>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</si>
  <si>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</si>
  <si>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</si>
  <si>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</si>
  <si>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</si>
  <si>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Project T</t>
  </si>
  <si>
    <t xml:space="preserve"> &lt;10&gt;</t>
  </si>
  <si>
    <t>Justification</t>
  </si>
  <si>
    <t>Deployment</t>
  </si>
  <si>
    <t>Deployment Pipeline</t>
  </si>
  <si>
    <t>Code Example</t>
  </si>
  <si>
    <t>Use in the project</t>
  </si>
  <si>
    <t>todo</t>
  </si>
  <si>
    <t>next steps</t>
  </si>
  <si>
    <t>Plan</t>
  </si>
  <si>
    <t>List of Packages, Tools,…</t>
  </si>
  <si>
    <t>Functions</t>
  </si>
  <si>
    <t>New Data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</si>
  <si>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</si>
  <si>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</si>
  <si>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</si>
  <si>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</si>
  <si>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</si>
  <si>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</si>
  <si>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</si>
  <si>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</si>
  <si>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</si>
  <si>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</si>
  <si>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</si>
  <si>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</si>
  <si>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</si>
  <si>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</si>
  <si>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</si>
  <si>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</si>
  <si>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</si>
  <si>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</si>
  <si>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</si>
  <si>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</si>
  <si>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</si>
  <si>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</si>
  <si>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</si>
  <si>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</si>
  <si>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</si>
  <si>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</si>
  <si>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</si>
  <si>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</si>
  <si>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</si>
  <si>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</si>
  <si>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</si>
  <si>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</si>
  <si>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</si>
  <si>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</si>
  <si>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</si>
  <si>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</si>
  <si>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</si>
  <si>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</si>
  <si>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</si>
  <si>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</si>
  <si>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</si>
  <si>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</si>
  <si>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</si>
  <si>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</si>
  <si>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</si>
  <si>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domain Problem</t>
  </si>
  <si>
    <t>domain Hardware</t>
  </si>
  <si>
    <t>domain Tools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</si>
  <si>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</si>
  <si>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</si>
  <si>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</si>
  <si>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</si>
  <si>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</si>
  <si>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</si>
  <si>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</si>
  <si>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</si>
  <si>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</si>
  <si>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</si>
  <si>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</si>
  <si>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</si>
  <si>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</si>
  <si>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</si>
  <si>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</si>
  <si>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</si>
  <si>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</si>
  <si>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</si>
  <si>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</si>
  <si>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</si>
  <si>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</si>
  <si>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</si>
  <si>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</si>
  <si>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</si>
  <si>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</si>
  <si>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Saving</t>
  </si>
  <si>
    <t>Loading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</si>
  <si>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</si>
  <si>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</si>
  <si>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</si>
  <si>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</si>
  <si>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</si>
  <si>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</si>
  <si>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</si>
  <si>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</si>
  <si>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</si>
  <si>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</si>
  <si>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</si>
  <si>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</si>
  <si>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</si>
  <si>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>Report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</si>
  <si>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</si>
  <si>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</si>
  <si>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</si>
  <si>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</si>
  <si>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</si>
  <si>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</si>
  <si>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</si>
  <si>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</si>
  <si>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</si>
  <si>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</si>
  <si>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</si>
  <si>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</si>
  <si>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</si>
  <si>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</si>
  <si>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</si>
  <si>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e.g. camera, IMU</t>
  </si>
  <si>
    <t>domain hardware</t>
  </si>
  <si>
    <t>properties</t>
  </si>
  <si>
    <t>calibration</t>
  </si>
  <si>
    <t>domain sensor</t>
  </si>
  <si>
    <t>domain system</t>
  </si>
  <si>
    <t>complete system</t>
  </si>
  <si>
    <t>design</t>
  </si>
  <si>
    <t>Test System</t>
  </si>
  <si>
    <t>Manufacturing and Assembly</t>
  </si>
  <si>
    <t>folder struture</t>
  </si>
  <si>
    <t>hints for manufacturing</t>
  </si>
  <si>
    <t>description of assembly</t>
  </si>
  <si>
    <t>General aspects</t>
  </si>
  <si>
    <t>Milestone</t>
  </si>
  <si>
    <t>min. 10 Jetson.bib</t>
  </si>
  <si>
    <t>min. 10 new</t>
  </si>
  <si>
    <t>within 4 weeks</t>
  </si>
  <si>
    <t>tikz</t>
  </si>
  <si>
    <t>HW description</t>
  </si>
  <si>
    <t>components</t>
  </si>
  <si>
    <t>Introduction +</t>
  </si>
  <si>
    <t>Is a tool used?</t>
  </si>
  <si>
    <t>not github!</t>
  </si>
  <si>
    <t>flow charts of each step in teh development, not code</t>
  </si>
  <si>
    <t>Conclusion</t>
  </si>
  <si>
    <t>self-critical</t>
  </si>
  <si>
    <t>Bill of Matrerials</t>
  </si>
  <si>
    <t>project management files</t>
  </si>
  <si>
    <t>Presentation of the results</t>
  </si>
  <si>
    <t>own pictures/tikz</t>
  </si>
  <si>
    <t>Description of the application</t>
  </si>
  <si>
    <t>own solutions</t>
  </si>
  <si>
    <t>Results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</si>
  <si>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</si>
  <si>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</si>
  <si>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</si>
  <si>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</si>
  <si>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</si>
  <si>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</si>
  <si>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Milestones</t>
  </si>
  <si>
    <t>Delighters</t>
  </si>
  <si>
    <t>Part domain knowledge - application</t>
  </si>
  <si>
    <t>Part domain knowledge - Hardware</t>
  </si>
  <si>
    <t>Part domain knowledge - Machine Learning</t>
  </si>
  <si>
    <t>Part domain knowledge - Tools</t>
  </si>
  <si>
    <t>Assumption of liability</t>
  </si>
  <si>
    <t>Project management</t>
  </si>
  <si>
    <t>contents</t>
  </si>
  <si>
    <t>Completeness, especially of the bill of material</t>
  </si>
  <si>
    <t>correct</t>
  </si>
  <si>
    <t>Printed out</t>
  </si>
  <si>
    <t>Development Environment Hardware</t>
  </si>
  <si>
    <t>LiteRT</t>
  </si>
  <si>
    <t>LiteRT Micro</t>
  </si>
  <si>
    <t>formalities (%)</t>
  </si>
  <si>
    <t>Updated a LaTeX document</t>
  </si>
  <si>
    <t>Uploaded Github Nickname</t>
  </si>
  <si>
    <t>Licence plate detection with Jetson nano</t>
  </si>
  <si>
    <t>A real-time system using the Jetson Nano to detect vehicles, locate license plates with computer vision models (e.g., YOLO), and apply OCR to read plate numbers. It runs entirely on-device, making it efficient for traffic monitoring and security applicatio</t>
  </si>
  <si>
    <t>Winter</t>
  </si>
  <si>
    <t>Vedant Ramkrishna Purohit</t>
  </si>
  <si>
    <t>Siddhanth Sharma</t>
  </si>
  <si>
    <t>Gautam Ramesh</t>
  </si>
  <si>
    <t>Gautam</t>
  </si>
  <si>
    <t>Ramesh</t>
  </si>
  <si>
    <t>Business Intelligen ans Data Analytics</t>
  </si>
  <si>
    <t>gautam-GGEZ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</si>
</sst>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2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top" wrapText="1" indent="1"/>
    </xf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0" borderId="0" xfId="0" applyFont="1"/>
    <xf numFmtId="0" fontId="8" fillId="6" borderId="0" xfId="0" applyFont="1" applyFill="1"/>
    <xf numFmtId="0" fontId="1" fillId="7" borderId="0" xfId="0" applyFont="1" applyFill="1"/>
    <xf numFmtId="0" fontId="0" fillId="7" borderId="0" xfId="0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4" fillId="0" borderId="0" xfId="0" applyFont="1"/>
    <xf numFmtId="0" fontId="2" fillId="9" borderId="0" xfId="0" applyFont="1" applyFill="1" applyAlignment="1">
      <alignment horizontal="left" vertical="center" wrapText="1"/>
    </xf>
    <xf numFmtId="0" fontId="1" fillId="10" borderId="0" xfId="0" applyFont="1" applyFill="1"/>
    <xf numFmtId="0" fontId="0" fillId="10" borderId="0" xfId="0" applyFill="1"/>
    <xf numFmtId="0" fontId="0" fillId="5" borderId="0" xfId="0" applyFill="1" applyAlignment="1">
      <alignment wrapText="1"/>
    </xf>
    <xf numFmtId="0" fontId="15" fillId="0" borderId="0" xfId="0" applyFont="1"/>
    <xf numFmtId="0" fontId="16" fillId="0" borderId="0" xfId="0" applyFont="1"/>
    <xf numFmtId="0" fontId="18" fillId="11" borderId="0" xfId="0" applyFont="1" applyFill="1" applyAlignment="1">
      <alignment horizontal="center" vertical="center" textRotation="255" wrapText="1"/>
    </xf>
    <xf numFmtId="10" fontId="8" fillId="6" borderId="0" xfId="0" applyNumberFormat="1" applyFont="1" applyFill="1"/>
    <xf numFmtId="0" fontId="3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17" fillId="11" borderId="0" xfId="0" applyFont="1" applyFill="1" applyAlignment="1">
      <alignment horizontal="center" vertical="center" textRotation="255"/>
    </xf>
    <xf numFmtId="0" fontId="18" fillId="11" borderId="0" xfId="0" applyFont="1" applyFill="1" applyAlignment="1">
      <alignment horizontal="center" vertical="center" textRotation="255" wrapText="1"/>
    </xf>
    <xf numFmtId="0" fontId="19" fillId="11" borderId="0" xfId="0" applyFont="1" applyFill="1" applyAlignment="1">
      <alignment horizontal="center" textRotation="255"/>
    </xf>
    <xf numFmtId="0" fontId="19" fillId="11" borderId="0" xfId="0" applyFont="1" applyFill="1" applyAlignment="1">
      <alignment horizontal="center" vertical="center" textRotation="255"/>
    </xf>
    <xf numFmtId="0" fontId="20" fillId="11" borderId="0" xfId="0" applyFont="1" applyFill="1" applyAlignment="1">
      <alignment horizontal="center" textRotation="255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75"/>
  <sheetViews>
    <sheetView tabSelected="1" workbookViewId="0">
      <selection activeCell="F11" sqref="F11"/>
    </sheetView>
  </sheetViews>
  <sheetFormatPr baseColWidth="10" defaultRowHeight="15" x14ac:dyDescent="0.2"/>
  <cols>
    <col min="1" max="1" width="20" bestFit="1" customWidth="1"/>
    <col min="2" max="2" width="28.6640625" bestFit="1" customWidth="1"/>
    <col min="3" max="3" width="28.5" bestFit="1" customWidth="1"/>
    <col min="4" max="4" width="16.1640625" bestFit="1" customWidth="1"/>
    <col min="5" max="5" width="14.5" bestFit="1" customWidth="1"/>
  </cols>
  <sheetData>
    <row r="2" spans="1:6" ht="34" x14ac:dyDescent="0.4">
      <c r="A2" s="37" t="s">
        <v>397</v>
      </c>
      <c r="B2" s="37"/>
      <c r="C2" s="37"/>
    </row>
    <row r="5" spans="1:6" x14ac:dyDescent="0.2">
      <c r="A5" s="1" t="s">
        <v>82</v>
      </c>
    </row>
    <row r="6" spans="1:6" x14ac:dyDescent="0.2">
      <c r="A6" s="38" t="s">
        <v>398</v>
      </c>
      <c r="B6" s="38"/>
      <c r="C6" s="38"/>
    </row>
    <row r="7" spans="1:6" x14ac:dyDescent="0.2">
      <c r="A7" t="s">
        <v>84</v>
      </c>
    </row>
    <row r="9" spans="1:6" ht="29" x14ac:dyDescent="0.35">
      <c r="A9" s="2" t="s">
        <v>85</v>
      </c>
    </row>
    <row r="10" spans="1:6" x14ac:dyDescent="0.2">
      <c r="A10" s="1" t="s">
        <v>86</v>
      </c>
      <c r="B10" s="1" t="s">
        <v>87</v>
      </c>
      <c r="C10" s="1" t="s">
        <v>88</v>
      </c>
      <c r="D10" s="1" t="s">
        <v>89</v>
      </c>
      <c r="F10" t="s">
        <v>170</v>
      </c>
    </row>
    <row r="11" spans="1:6" x14ac:dyDescent="0.2">
      <c r="A11" t="s">
        <v>403</v>
      </c>
      <c r="B11" t="s">
        <v>404</v>
      </c>
      <c r="C11" s="3">
        <v>7026787</v>
      </c>
      <c r="D11" t="s">
        <v>406</v>
      </c>
    </row>
    <row r="12" spans="1:6" x14ac:dyDescent="0.2">
      <c r="C12" s="3"/>
    </row>
    <row r="14" spans="1:6" x14ac:dyDescent="0.2">
      <c r="A14" s="1" t="s">
        <v>92</v>
      </c>
      <c r="B14" t="s">
        <v>405</v>
      </c>
    </row>
    <row r="16" spans="1:6" x14ac:dyDescent="0.2">
      <c r="A16" s="1" t="s">
        <v>93</v>
      </c>
      <c r="B16" t="s">
        <v>399</v>
      </c>
    </row>
    <row r="18" spans="1:8" x14ac:dyDescent="0.2">
      <c r="A18" s="1" t="s">
        <v>94</v>
      </c>
      <c r="B18" s="4">
        <v>45924</v>
      </c>
    </row>
    <row r="19" spans="1:8" x14ac:dyDescent="0.2">
      <c r="A19" s="1" t="s">
        <v>95</v>
      </c>
      <c r="B19" s="4">
        <v>45594</v>
      </c>
    </row>
    <row r="21" spans="1:8" x14ac:dyDescent="0.2">
      <c r="A21" s="1" t="s">
        <v>96</v>
      </c>
      <c r="B21" t="s">
        <v>222</v>
      </c>
    </row>
    <row r="22" spans="1:8" x14ac:dyDescent="0.2">
      <c r="A22" s="1" t="s">
        <v>97</v>
      </c>
      <c r="B22" t="s">
        <v>223</v>
      </c>
    </row>
    <row r="25" spans="1:8" ht="24" x14ac:dyDescent="0.3">
      <c r="A25" s="6" t="s">
        <v>99</v>
      </c>
    </row>
    <row r="27" spans="1:8" ht="19" x14ac:dyDescent="0.25">
      <c r="A27" s="5" t="s">
        <v>100</v>
      </c>
      <c r="E27" s="5" t="s">
        <v>101</v>
      </c>
    </row>
    <row r="28" spans="1:8" x14ac:dyDescent="0.2">
      <c r="A28" s="13"/>
      <c r="B28" s="13" t="s">
        <v>171</v>
      </c>
      <c r="C28" s="13"/>
      <c r="D28" s="13"/>
      <c r="E28" s="13">
        <v>-25</v>
      </c>
      <c r="F28" s="13">
        <v>0</v>
      </c>
      <c r="H28" t="s">
        <v>395</v>
      </c>
    </row>
    <row r="29" spans="1:8" x14ac:dyDescent="0.2">
      <c r="A29" s="14"/>
      <c r="B29" s="14" t="s">
        <v>171</v>
      </c>
      <c r="C29" s="14"/>
      <c r="D29" s="14"/>
      <c r="E29" s="14">
        <v>-25</v>
      </c>
      <c r="F29" s="14">
        <v>0</v>
      </c>
      <c r="H29" t="s">
        <v>395</v>
      </c>
    </row>
    <row r="30" spans="1:8" x14ac:dyDescent="0.2">
      <c r="A30" s="12"/>
      <c r="B30" s="12" t="s">
        <v>171</v>
      </c>
      <c r="C30" s="12"/>
      <c r="D30" s="12"/>
      <c r="E30" s="12">
        <v>-25</v>
      </c>
      <c r="F30" s="12">
        <v>0</v>
      </c>
      <c r="H30" t="s">
        <v>395</v>
      </c>
    </row>
    <row r="31" spans="1:8" x14ac:dyDescent="0.2">
      <c r="A31" s="12"/>
      <c r="B31" s="12" t="s">
        <v>172</v>
      </c>
      <c r="C31" s="12"/>
      <c r="D31" s="12"/>
      <c r="E31" s="12">
        <v>-25</v>
      </c>
      <c r="F31" s="12">
        <v>0</v>
      </c>
      <c r="H31" t="s">
        <v>396</v>
      </c>
    </row>
    <row r="32" spans="1:8" x14ac:dyDescent="0.2">
      <c r="A32" s="14"/>
      <c r="B32" s="14" t="s">
        <v>172</v>
      </c>
      <c r="C32" s="14"/>
      <c r="D32" s="14"/>
      <c r="E32" s="14">
        <v>-25</v>
      </c>
      <c r="F32" s="14">
        <v>0</v>
      </c>
      <c r="H32" t="s">
        <v>396</v>
      </c>
    </row>
    <row r="33" spans="1:8" x14ac:dyDescent="0.2">
      <c r="A33" s="13"/>
      <c r="B33" s="13" t="s">
        <v>172</v>
      </c>
      <c r="C33" s="13"/>
      <c r="D33" s="13"/>
      <c r="E33" s="13">
        <v>-25</v>
      </c>
      <c r="F33" s="13">
        <v>0</v>
      </c>
      <c r="H33" t="s">
        <v>396</v>
      </c>
    </row>
    <row r="35" spans="1:8" ht="21" x14ac:dyDescent="0.25">
      <c r="A35" s="28" t="s">
        <v>320</v>
      </c>
    </row>
    <row r="36" spans="1:8" x14ac:dyDescent="0.2">
      <c r="A36" s="15" t="s">
        <v>0</v>
      </c>
      <c r="B36" s="13"/>
      <c r="C36" s="13"/>
      <c r="D36" s="13"/>
      <c r="E36" s="13"/>
      <c r="F36" s="13"/>
    </row>
    <row r="37" spans="1:8" x14ac:dyDescent="0.2">
      <c r="A37" s="15"/>
      <c r="B37" s="13" t="s">
        <v>3</v>
      </c>
      <c r="C37" s="13"/>
      <c r="D37" s="13"/>
      <c r="E37" s="13"/>
      <c r="F37" s="13">
        <v>10</v>
      </c>
    </row>
    <row r="38" spans="1:8" x14ac:dyDescent="0.2">
      <c r="A38" s="13"/>
      <c r="B38" s="13" t="s">
        <v>28</v>
      </c>
      <c r="C38" s="13"/>
      <c r="D38" s="13"/>
      <c r="E38" s="13"/>
      <c r="F38" s="13">
        <v>10</v>
      </c>
    </row>
    <row r="39" spans="1:8" x14ac:dyDescent="0.2">
      <c r="A39" s="13"/>
      <c r="B39" s="13" t="s">
        <v>4</v>
      </c>
      <c r="C39" s="13"/>
      <c r="D39" s="13"/>
      <c r="E39" s="13"/>
      <c r="F39" s="13">
        <v>10</v>
      </c>
    </row>
    <row r="40" spans="1:8" x14ac:dyDescent="0.2">
      <c r="A40" s="13"/>
      <c r="B40" s="13" t="s">
        <v>5</v>
      </c>
      <c r="C40" s="13"/>
      <c r="D40" s="13"/>
      <c r="E40" s="13"/>
      <c r="F40" s="13">
        <v>10</v>
      </c>
    </row>
    <row r="41" spans="1:8" x14ac:dyDescent="0.2">
      <c r="A41" s="13"/>
      <c r="B41" s="13" t="s">
        <v>6</v>
      </c>
      <c r="C41" s="13"/>
      <c r="D41" s="13"/>
      <c r="E41" s="13"/>
      <c r="F41" s="13">
        <v>10</v>
      </c>
    </row>
    <row r="42" spans="1:8" x14ac:dyDescent="0.2">
      <c r="A42" s="13"/>
      <c r="B42" s="13" t="s">
        <v>1</v>
      </c>
      <c r="C42" s="13"/>
      <c r="D42" s="13"/>
      <c r="E42" s="13"/>
      <c r="F42" s="13">
        <v>10</v>
      </c>
    </row>
    <row r="43" spans="1:8" x14ac:dyDescent="0.2">
      <c r="A43" s="15"/>
      <c r="B43" s="13"/>
      <c r="C43" s="13"/>
      <c r="D43" s="13"/>
      <c r="E43" s="13"/>
      <c r="F43" s="13"/>
    </row>
    <row r="44" spans="1:8" x14ac:dyDescent="0.2">
      <c r="A44" s="15"/>
      <c r="B44" s="13" t="s">
        <v>2</v>
      </c>
      <c r="C44" s="13" t="s">
        <v>262</v>
      </c>
      <c r="D44" s="13"/>
      <c r="E44" s="13"/>
      <c r="F44" s="13">
        <v>4</v>
      </c>
    </row>
    <row r="45" spans="1:8" x14ac:dyDescent="0.2">
      <c r="A45" s="13"/>
      <c r="B45" s="13"/>
      <c r="C45" s="13" t="s">
        <v>206</v>
      </c>
      <c r="D45" s="13"/>
      <c r="E45" s="13"/>
      <c r="F45" s="13">
        <v>6</v>
      </c>
    </row>
    <row r="46" spans="1:8" x14ac:dyDescent="0.2">
      <c r="A46" s="13"/>
      <c r="B46" s="13"/>
      <c r="C46" s="13" t="s">
        <v>207</v>
      </c>
      <c r="D46" s="13"/>
      <c r="E46" s="13"/>
      <c r="F46" s="13">
        <v>10</v>
      </c>
    </row>
    <row r="47" spans="1:8" x14ac:dyDescent="0.2">
      <c r="A47" s="13"/>
      <c r="B47" s="13"/>
      <c r="C47" s="13" t="s">
        <v>208</v>
      </c>
      <c r="D47" s="13"/>
      <c r="E47" s="13"/>
      <c r="F47" s="13">
        <v>5</v>
      </c>
    </row>
    <row r="48" spans="1:8" x14ac:dyDescent="0.2">
      <c r="A48" s="13"/>
      <c r="B48" s="13"/>
      <c r="C48" s="13" t="s">
        <v>261</v>
      </c>
      <c r="D48" s="13"/>
      <c r="E48" s="13"/>
      <c r="F48" s="13">
        <v>5</v>
      </c>
    </row>
    <row r="49" spans="1:7" x14ac:dyDescent="0.2">
      <c r="A49" s="13"/>
      <c r="B49" s="13"/>
      <c r="C49" s="13" t="s">
        <v>203</v>
      </c>
      <c r="D49" s="13"/>
      <c r="E49" s="13"/>
      <c r="F49" s="13">
        <v>5</v>
      </c>
    </row>
    <row r="50" spans="1:7" x14ac:dyDescent="0.2">
      <c r="A50" s="13"/>
      <c r="B50" s="13"/>
      <c r="C50" s="13" t="s">
        <v>204</v>
      </c>
      <c r="D50" s="13"/>
      <c r="E50" s="13"/>
      <c r="F50" s="13">
        <v>5</v>
      </c>
    </row>
    <row r="51" spans="1:7" x14ac:dyDescent="0.2">
      <c r="A51" s="13"/>
      <c r="B51" s="13"/>
      <c r="C51" s="13"/>
      <c r="D51" s="22" t="s">
        <v>394</v>
      </c>
      <c r="E51" s="36">
        <v>1</v>
      </c>
      <c r="F51" s="13"/>
    </row>
    <row r="52" spans="1:7" x14ac:dyDescent="0.2">
      <c r="E52">
        <f>SUM(E36:E50)*E51</f>
        <v>0</v>
      </c>
      <c r="F52">
        <f>SUM(F36:F50)</f>
        <v>100</v>
      </c>
    </row>
    <row r="54" spans="1:7" s="5" customFormat="1" ht="21" x14ac:dyDescent="0.25">
      <c r="A54" s="28" t="s">
        <v>140</v>
      </c>
    </row>
    <row r="55" spans="1:7" x14ac:dyDescent="0.2">
      <c r="A55" s="16" t="s">
        <v>140</v>
      </c>
      <c r="B55" s="14" t="s">
        <v>321</v>
      </c>
      <c r="C55" s="14"/>
      <c r="D55" s="14"/>
      <c r="E55" s="14"/>
      <c r="F55" s="14">
        <v>10</v>
      </c>
      <c r="G55" s="39" t="s">
        <v>114</v>
      </c>
    </row>
    <row r="56" spans="1:7" x14ac:dyDescent="0.2">
      <c r="A56" s="16"/>
      <c r="B56" s="14" t="s">
        <v>50</v>
      </c>
      <c r="C56" s="14"/>
      <c r="D56" s="14"/>
      <c r="E56" s="14"/>
      <c r="F56" s="14">
        <v>5</v>
      </c>
      <c r="G56" s="39"/>
    </row>
    <row r="57" spans="1:7" x14ac:dyDescent="0.2">
      <c r="A57" s="16"/>
      <c r="B57" s="14" t="s">
        <v>238</v>
      </c>
      <c r="C57" s="14"/>
      <c r="D57" s="14"/>
      <c r="E57" s="14"/>
      <c r="F57" s="14">
        <v>5</v>
      </c>
      <c r="G57" s="39"/>
    </row>
    <row r="58" spans="1:7" x14ac:dyDescent="0.2">
      <c r="A58" s="16"/>
      <c r="B58" s="14" t="s">
        <v>141</v>
      </c>
      <c r="C58" s="14"/>
      <c r="D58" s="14"/>
      <c r="E58" s="14"/>
      <c r="F58" s="14">
        <v>5</v>
      </c>
      <c r="G58" s="39"/>
    </row>
    <row r="59" spans="1:7" x14ac:dyDescent="0.2">
      <c r="A59" s="16"/>
      <c r="B59" s="14" t="s">
        <v>142</v>
      </c>
      <c r="C59" s="14"/>
      <c r="D59" s="14"/>
      <c r="E59" s="14"/>
      <c r="F59" s="14">
        <v>10</v>
      </c>
      <c r="G59" s="39"/>
    </row>
    <row r="60" spans="1:7" x14ac:dyDescent="0.2">
      <c r="A60" s="16"/>
      <c r="B60" s="14" t="s">
        <v>55</v>
      </c>
      <c r="C60" s="14"/>
      <c r="D60" s="14"/>
      <c r="E60" s="14"/>
      <c r="F60" s="14">
        <v>5</v>
      </c>
      <c r="G60" s="39"/>
    </row>
    <row r="61" spans="1:7" x14ac:dyDescent="0.2">
      <c r="A61" s="16"/>
      <c r="B61" s="14" t="s">
        <v>54</v>
      </c>
      <c r="C61" s="14"/>
      <c r="D61" s="14"/>
      <c r="E61" s="14"/>
      <c r="F61" s="14">
        <v>10</v>
      </c>
      <c r="G61" s="39"/>
    </row>
    <row r="62" spans="1:7" x14ac:dyDescent="0.2">
      <c r="A62" s="16"/>
      <c r="B62" s="14" t="s">
        <v>143</v>
      </c>
      <c r="C62" s="14"/>
      <c r="D62" s="14"/>
      <c r="E62" s="14"/>
      <c r="F62" s="14">
        <v>5</v>
      </c>
      <c r="G62" s="39"/>
    </row>
    <row r="63" spans="1:7" x14ac:dyDescent="0.2">
      <c r="A63" s="16"/>
      <c r="B63" s="14" t="s">
        <v>144</v>
      </c>
      <c r="C63" s="14"/>
      <c r="D63" s="14"/>
      <c r="E63" s="14"/>
      <c r="F63" s="14">
        <v>5</v>
      </c>
      <c r="G63" s="39"/>
    </row>
    <row r="64" spans="1:7" x14ac:dyDescent="0.2">
      <c r="A64" s="16"/>
      <c r="B64" s="14" t="s">
        <v>145</v>
      </c>
      <c r="C64" s="14"/>
      <c r="D64" s="14"/>
      <c r="E64" s="14"/>
      <c r="F64" s="14">
        <v>5</v>
      </c>
      <c r="G64" s="39"/>
    </row>
    <row r="65" spans="1:7" x14ac:dyDescent="0.2">
      <c r="A65" s="16"/>
      <c r="B65" s="14" t="s">
        <v>328</v>
      </c>
      <c r="C65" s="14"/>
      <c r="D65" s="14"/>
      <c r="E65" s="14"/>
      <c r="F65" s="14">
        <v>5</v>
      </c>
      <c r="G65" s="39"/>
    </row>
    <row r="66" spans="1:7" x14ac:dyDescent="0.2">
      <c r="A66" s="16"/>
      <c r="B66" s="14" t="s">
        <v>329</v>
      </c>
      <c r="C66" s="14"/>
      <c r="D66" s="14"/>
      <c r="E66" s="14"/>
      <c r="F66" s="14">
        <v>5</v>
      </c>
      <c r="G66" s="39"/>
    </row>
    <row r="67" spans="1:7" x14ac:dyDescent="0.2">
      <c r="A67" s="16"/>
      <c r="B67" s="14" t="s">
        <v>146</v>
      </c>
      <c r="C67" s="14"/>
      <c r="D67" s="14"/>
      <c r="E67" s="14"/>
      <c r="F67" s="14">
        <v>5</v>
      </c>
      <c r="G67" s="39"/>
    </row>
    <row r="68" spans="1:7" x14ac:dyDescent="0.2">
      <c r="A68" s="16"/>
      <c r="B68" s="14"/>
      <c r="C68" s="14"/>
      <c r="D68" s="22" t="s">
        <v>394</v>
      </c>
      <c r="E68" s="36">
        <v>1</v>
      </c>
      <c r="F68" s="14"/>
      <c r="G68" s="39"/>
    </row>
    <row r="69" spans="1:7" x14ac:dyDescent="0.2">
      <c r="A69" s="1"/>
      <c r="E69">
        <f>-SUM(E55:E67)*E68</f>
        <v>0</v>
      </c>
      <c r="F69">
        <f>SUM(F55:F67)</f>
        <v>80</v>
      </c>
    </row>
    <row r="70" spans="1:7" s="5" customFormat="1" ht="19" x14ac:dyDescent="0.25">
      <c r="A70" s="5" t="s">
        <v>348</v>
      </c>
    </row>
    <row r="71" spans="1:7" x14ac:dyDescent="0.2">
      <c r="A71" s="16" t="s">
        <v>140</v>
      </c>
      <c r="B71" s="14" t="s">
        <v>321</v>
      </c>
      <c r="C71" s="14"/>
      <c r="D71" s="14"/>
      <c r="E71" s="14"/>
      <c r="F71" s="14">
        <v>10</v>
      </c>
      <c r="G71" s="42" t="s">
        <v>114</v>
      </c>
    </row>
    <row r="72" spans="1:7" x14ac:dyDescent="0.2">
      <c r="A72" s="16"/>
      <c r="B72" s="14" t="s">
        <v>46</v>
      </c>
      <c r="C72" s="14"/>
      <c r="D72" s="14"/>
      <c r="E72" s="14"/>
      <c r="F72" s="14">
        <v>5</v>
      </c>
      <c r="G72" s="42"/>
    </row>
    <row r="73" spans="1:7" x14ac:dyDescent="0.2">
      <c r="A73" s="16"/>
      <c r="B73" s="14" t="s">
        <v>349</v>
      </c>
      <c r="C73" s="14"/>
      <c r="D73" s="14"/>
      <c r="E73" s="14"/>
      <c r="F73" s="14">
        <v>5</v>
      </c>
      <c r="G73" s="42"/>
    </row>
    <row r="74" spans="1:7" x14ac:dyDescent="0.2">
      <c r="A74" s="16"/>
      <c r="B74" s="14" t="s">
        <v>70</v>
      </c>
      <c r="C74" s="14"/>
      <c r="D74" s="14"/>
      <c r="E74" s="14"/>
      <c r="F74" s="14">
        <v>5</v>
      </c>
      <c r="G74" s="42"/>
    </row>
    <row r="75" spans="1:7" x14ac:dyDescent="0.2">
      <c r="A75" s="16"/>
      <c r="B75" s="14" t="s">
        <v>350</v>
      </c>
      <c r="C75" s="14"/>
      <c r="D75" s="14"/>
      <c r="E75" s="14"/>
      <c r="F75" s="14">
        <v>10</v>
      </c>
      <c r="G75" s="42"/>
    </row>
    <row r="76" spans="1:7" x14ac:dyDescent="0.2">
      <c r="A76" s="16"/>
      <c r="B76" s="14" t="s">
        <v>351</v>
      </c>
      <c r="C76" s="14"/>
      <c r="D76" s="14"/>
      <c r="E76" s="14"/>
      <c r="F76" s="14">
        <v>5</v>
      </c>
      <c r="G76" s="42"/>
    </row>
    <row r="77" spans="1:7" x14ac:dyDescent="0.2">
      <c r="A77" s="16"/>
      <c r="B77" s="14"/>
      <c r="C77" s="14"/>
      <c r="D77" s="22" t="s">
        <v>394</v>
      </c>
      <c r="E77" s="36">
        <v>1</v>
      </c>
      <c r="F77" s="14"/>
      <c r="G77" s="42"/>
    </row>
    <row r="78" spans="1:7" x14ac:dyDescent="0.2">
      <c r="A78" s="1"/>
      <c r="E78">
        <f>-SUM(E71:E76)*E77</f>
        <v>0</v>
      </c>
      <c r="F78">
        <f>SUM(F71:F76)</f>
        <v>40</v>
      </c>
    </row>
    <row r="79" spans="1:7" x14ac:dyDescent="0.2">
      <c r="A79" s="1"/>
    </row>
    <row r="80" spans="1:7" ht="19" x14ac:dyDescent="0.25">
      <c r="A80" s="5" t="s">
        <v>385</v>
      </c>
    </row>
    <row r="81" spans="1:7" x14ac:dyDescent="0.2">
      <c r="A81" s="7" t="s">
        <v>385</v>
      </c>
      <c r="B81" s="7" t="s">
        <v>386</v>
      </c>
      <c r="C81" s="8" t="s">
        <v>321</v>
      </c>
      <c r="D81" s="8"/>
      <c r="E81" s="8"/>
      <c r="F81" s="8">
        <v>0</v>
      </c>
      <c r="G81" s="43" t="s">
        <v>114</v>
      </c>
    </row>
    <row r="82" spans="1:7" x14ac:dyDescent="0.2">
      <c r="A82" s="7"/>
      <c r="B82" s="7" t="s">
        <v>387</v>
      </c>
      <c r="C82" s="8" t="s">
        <v>388</v>
      </c>
      <c r="D82" s="8"/>
      <c r="E82" s="8"/>
      <c r="F82" s="8">
        <v>30</v>
      </c>
      <c r="G82" s="43"/>
    </row>
    <row r="83" spans="1:7" x14ac:dyDescent="0.2">
      <c r="A83" s="7"/>
      <c r="B83" s="7"/>
      <c r="C83" s="8" t="s">
        <v>389</v>
      </c>
      <c r="D83" s="8"/>
      <c r="E83" s="8"/>
      <c r="F83" s="8">
        <v>10</v>
      </c>
      <c r="G83" s="43"/>
    </row>
    <row r="84" spans="1:7" x14ac:dyDescent="0.2">
      <c r="A84" s="7"/>
      <c r="B84" s="7"/>
      <c r="C84" s="8" t="s">
        <v>390</v>
      </c>
      <c r="D84" s="8"/>
      <c r="E84" s="8"/>
      <c r="F84" s="8">
        <v>10</v>
      </c>
      <c r="G84" s="43"/>
    </row>
    <row r="85" spans="1:7" x14ac:dyDescent="0.2">
      <c r="A85" s="7"/>
      <c r="B85" s="7"/>
      <c r="C85" s="7"/>
      <c r="D85" s="22" t="s">
        <v>394</v>
      </c>
      <c r="E85" s="36">
        <v>1</v>
      </c>
      <c r="F85" s="7"/>
      <c r="G85" s="43"/>
    </row>
    <row r="86" spans="1:7" x14ac:dyDescent="0.2">
      <c r="A86" s="1"/>
      <c r="B86" s="1"/>
      <c r="E86">
        <f>SUM(E81:E84)*E85</f>
        <v>0</v>
      </c>
      <c r="F86">
        <f>SUM(F81:F84)</f>
        <v>50</v>
      </c>
    </row>
    <row r="87" spans="1:7" x14ac:dyDescent="0.2">
      <c r="A87" s="1"/>
    </row>
    <row r="88" spans="1:7" ht="21" x14ac:dyDescent="0.25">
      <c r="A88" s="28" t="s">
        <v>322</v>
      </c>
    </row>
    <row r="89" spans="1:7" x14ac:dyDescent="0.2">
      <c r="A89" s="15" t="s">
        <v>322</v>
      </c>
      <c r="B89" s="13" t="s">
        <v>321</v>
      </c>
      <c r="C89" s="13"/>
      <c r="D89" s="13"/>
      <c r="E89" s="13"/>
      <c r="F89" s="13">
        <v>10</v>
      </c>
    </row>
    <row r="90" spans="1:7" x14ac:dyDescent="0.2">
      <c r="A90" s="15"/>
      <c r="B90" s="13" t="s">
        <v>136</v>
      </c>
      <c r="C90" s="13"/>
      <c r="D90" s="13"/>
      <c r="E90" s="13"/>
      <c r="F90" s="13">
        <v>5</v>
      </c>
    </row>
    <row r="91" spans="1:7" x14ac:dyDescent="0.2">
      <c r="A91" s="15"/>
      <c r="B91" s="13" t="s">
        <v>240</v>
      </c>
      <c r="C91" s="13"/>
      <c r="D91" s="13"/>
      <c r="E91" s="13"/>
      <c r="F91" s="13">
        <v>5</v>
      </c>
    </row>
    <row r="92" spans="1:7" x14ac:dyDescent="0.2">
      <c r="A92" s="15"/>
      <c r="B92" s="13" t="s">
        <v>8</v>
      </c>
      <c r="C92" s="13"/>
      <c r="D92" s="13"/>
      <c r="E92" s="13"/>
      <c r="F92" s="13">
        <v>5</v>
      </c>
    </row>
    <row r="93" spans="1:7" x14ac:dyDescent="0.2">
      <c r="A93" s="15"/>
      <c r="B93" s="13" t="s">
        <v>137</v>
      </c>
      <c r="C93" s="13"/>
      <c r="D93" s="13"/>
      <c r="E93" s="13"/>
      <c r="F93" s="13">
        <v>5</v>
      </c>
    </row>
    <row r="94" spans="1:7" x14ac:dyDescent="0.2">
      <c r="A94" s="15"/>
      <c r="B94" s="13" t="s">
        <v>138</v>
      </c>
      <c r="C94" s="13"/>
      <c r="D94" s="13"/>
      <c r="E94" s="13"/>
      <c r="F94" s="13">
        <v>5</v>
      </c>
    </row>
    <row r="95" spans="1:7" x14ac:dyDescent="0.2">
      <c r="A95" s="15"/>
      <c r="B95" s="13" t="s">
        <v>139</v>
      </c>
      <c r="C95" s="13"/>
      <c r="D95" s="13"/>
      <c r="E95" s="13"/>
      <c r="F95" s="13">
        <v>5</v>
      </c>
    </row>
    <row r="96" spans="1:7" x14ac:dyDescent="0.2">
      <c r="A96" s="15"/>
      <c r="B96" s="13"/>
      <c r="C96" s="13"/>
      <c r="D96" s="22" t="s">
        <v>394</v>
      </c>
      <c r="E96" s="36">
        <v>1</v>
      </c>
      <c r="F96" s="13"/>
    </row>
    <row r="97" spans="1:6" x14ac:dyDescent="0.2">
      <c r="A97" s="1"/>
      <c r="E97">
        <f>SUM(E89:E95)*E96</f>
        <v>0</v>
      </c>
      <c r="F97">
        <f>SUM(F89:F95)</f>
        <v>40</v>
      </c>
    </row>
    <row r="98" spans="1:6" ht="13.5" customHeight="1" x14ac:dyDescent="0.2"/>
    <row r="99" spans="1:6" ht="21" x14ac:dyDescent="0.25">
      <c r="A99" s="28" t="s">
        <v>323</v>
      </c>
    </row>
    <row r="100" spans="1:6" ht="19" x14ac:dyDescent="0.25">
      <c r="A100" s="5" t="s">
        <v>7</v>
      </c>
    </row>
    <row r="101" spans="1:6" x14ac:dyDescent="0.2">
      <c r="A101" s="15" t="s">
        <v>7</v>
      </c>
      <c r="B101" s="13" t="s">
        <v>8</v>
      </c>
      <c r="C101" s="13"/>
      <c r="D101" s="13"/>
      <c r="E101" s="13"/>
      <c r="F101" s="13">
        <v>5</v>
      </c>
    </row>
    <row r="102" spans="1:6" x14ac:dyDescent="0.2">
      <c r="A102" s="13"/>
      <c r="B102" s="13" t="s">
        <v>9</v>
      </c>
      <c r="C102" s="13"/>
      <c r="D102" s="13"/>
      <c r="E102" s="13"/>
      <c r="F102" s="13">
        <v>5</v>
      </c>
    </row>
    <row r="103" spans="1:6" x14ac:dyDescent="0.2">
      <c r="A103" s="13"/>
      <c r="B103" s="13" t="s">
        <v>10</v>
      </c>
      <c r="C103" s="13"/>
      <c r="D103" s="13"/>
      <c r="E103" s="13"/>
      <c r="F103" s="13">
        <v>5</v>
      </c>
    </row>
    <row r="104" spans="1:6" x14ac:dyDescent="0.2">
      <c r="A104" s="13"/>
      <c r="B104" s="13" t="s">
        <v>11</v>
      </c>
      <c r="C104" s="13"/>
      <c r="D104" s="13"/>
      <c r="E104" s="13"/>
      <c r="F104" s="13">
        <v>10</v>
      </c>
    </row>
    <row r="105" spans="1:6" x14ac:dyDescent="0.2">
      <c r="A105" s="13"/>
      <c r="B105" s="13" t="s">
        <v>12</v>
      </c>
      <c r="C105" s="13"/>
      <c r="D105" s="13"/>
      <c r="E105" s="13"/>
      <c r="F105" s="13">
        <v>5</v>
      </c>
    </row>
    <row r="106" spans="1:6" x14ac:dyDescent="0.2">
      <c r="A106" s="13"/>
      <c r="B106" s="13" t="s">
        <v>105</v>
      </c>
      <c r="C106" s="13"/>
      <c r="D106" s="13"/>
      <c r="E106" s="13"/>
      <c r="F106" s="13">
        <v>5</v>
      </c>
    </row>
    <row r="107" spans="1:6" x14ac:dyDescent="0.2">
      <c r="A107" s="13"/>
      <c r="B107" s="13"/>
      <c r="C107" s="13"/>
      <c r="D107" s="22" t="s">
        <v>394</v>
      </c>
      <c r="E107" s="36">
        <v>1</v>
      </c>
      <c r="F107" s="13"/>
    </row>
    <row r="108" spans="1:6" x14ac:dyDescent="0.2">
      <c r="E108">
        <f>SUM(E101:E106)*E107</f>
        <v>0</v>
      </c>
      <c r="F108">
        <f>SUM(F101:F106)</f>
        <v>35</v>
      </c>
    </row>
    <row r="110" spans="1:6" ht="19" x14ac:dyDescent="0.25">
      <c r="A110" s="5" t="s">
        <v>381</v>
      </c>
    </row>
    <row r="111" spans="1:6" x14ac:dyDescent="0.2">
      <c r="A111" s="16" t="s">
        <v>280</v>
      </c>
      <c r="B111" s="14" t="s">
        <v>312</v>
      </c>
      <c r="C111" s="14"/>
      <c r="D111" s="14"/>
      <c r="E111" s="14"/>
      <c r="F111" s="14">
        <v>5</v>
      </c>
    </row>
    <row r="112" spans="1:6" x14ac:dyDescent="0.2">
      <c r="A112" s="16"/>
      <c r="B112" s="14" t="s">
        <v>14</v>
      </c>
      <c r="C112" s="14"/>
      <c r="D112" s="14"/>
      <c r="E112" s="14"/>
      <c r="F112" s="14">
        <v>5</v>
      </c>
    </row>
    <row r="113" spans="1:7" x14ac:dyDescent="0.2">
      <c r="A113" s="14"/>
      <c r="B113" s="14" t="s">
        <v>15</v>
      </c>
      <c r="C113" s="14"/>
      <c r="D113" s="14"/>
      <c r="E113" s="14"/>
      <c r="F113" s="14">
        <v>5</v>
      </c>
    </row>
    <row r="114" spans="1:7" x14ac:dyDescent="0.2">
      <c r="A114" s="14"/>
      <c r="B114" s="14" t="s">
        <v>16</v>
      </c>
      <c r="C114" s="14"/>
      <c r="D114" s="14"/>
      <c r="E114" s="14"/>
      <c r="F114" s="14">
        <v>5</v>
      </c>
    </row>
    <row r="115" spans="1:7" x14ac:dyDescent="0.2">
      <c r="A115" s="14"/>
      <c r="B115" s="14" t="s">
        <v>17</v>
      </c>
      <c r="C115" s="14"/>
      <c r="D115" s="14"/>
      <c r="E115" s="14"/>
      <c r="F115" s="14">
        <v>5</v>
      </c>
    </row>
    <row r="116" spans="1:7" x14ac:dyDescent="0.2">
      <c r="A116" s="14"/>
      <c r="B116" s="14" t="s">
        <v>18</v>
      </c>
      <c r="C116" s="14"/>
      <c r="D116" s="14"/>
      <c r="E116" s="14"/>
      <c r="F116" s="14">
        <v>5</v>
      </c>
    </row>
    <row r="117" spans="1:7" x14ac:dyDescent="0.2">
      <c r="A117" s="14"/>
      <c r="B117" s="14" t="s">
        <v>20</v>
      </c>
      <c r="C117" s="14"/>
      <c r="D117" s="14"/>
      <c r="E117" s="14"/>
      <c r="F117" s="14">
        <v>5</v>
      </c>
    </row>
    <row r="118" spans="1:7" ht="16" x14ac:dyDescent="0.2">
      <c r="A118" s="14"/>
      <c r="B118" s="32" t="s">
        <v>19</v>
      </c>
      <c r="C118" s="14"/>
      <c r="D118" s="14"/>
      <c r="E118" s="14"/>
      <c r="F118" s="14">
        <v>5</v>
      </c>
    </row>
    <row r="119" spans="1:7" x14ac:dyDescent="0.2">
      <c r="A119" s="14"/>
      <c r="B119" s="32"/>
      <c r="C119" s="14"/>
      <c r="D119" s="22" t="s">
        <v>394</v>
      </c>
      <c r="E119" s="36">
        <v>1</v>
      </c>
      <c r="F119" s="14"/>
    </row>
    <row r="120" spans="1:7" x14ac:dyDescent="0.2">
      <c r="E120">
        <f>SUM(E111:E118)*E119</f>
        <v>0</v>
      </c>
      <c r="F120">
        <f>SUM(F111:F118)</f>
        <v>40</v>
      </c>
    </row>
    <row r="123" spans="1:7" ht="19" x14ac:dyDescent="0.25">
      <c r="A123" s="5" t="s">
        <v>382</v>
      </c>
    </row>
    <row r="124" spans="1:7" x14ac:dyDescent="0.2">
      <c r="A124" s="11" t="s">
        <v>340</v>
      </c>
      <c r="B124" s="12" t="s">
        <v>6</v>
      </c>
      <c r="C124" s="12" t="s">
        <v>116</v>
      </c>
      <c r="D124" s="12"/>
      <c r="E124" s="12" t="s">
        <v>324</v>
      </c>
      <c r="F124" s="12">
        <v>6</v>
      </c>
      <c r="G124" s="40" t="s">
        <v>114</v>
      </c>
    </row>
    <row r="125" spans="1:7" x14ac:dyDescent="0.2">
      <c r="A125" s="11" t="s">
        <v>335</v>
      </c>
      <c r="B125" s="12"/>
      <c r="C125" s="12" t="s">
        <v>121</v>
      </c>
      <c r="D125" s="12" t="s">
        <v>336</v>
      </c>
      <c r="E125" s="12" t="s">
        <v>324</v>
      </c>
      <c r="F125" s="12">
        <v>6</v>
      </c>
      <c r="G125" s="40"/>
    </row>
    <row r="126" spans="1:7" x14ac:dyDescent="0.2">
      <c r="A126" s="12"/>
      <c r="B126" s="12"/>
      <c r="C126" s="12"/>
      <c r="D126" s="12" t="s">
        <v>107</v>
      </c>
      <c r="E126" s="12" t="s">
        <v>324</v>
      </c>
      <c r="F126" s="12">
        <v>6</v>
      </c>
      <c r="G126" s="40"/>
    </row>
    <row r="127" spans="1:7" x14ac:dyDescent="0.2">
      <c r="A127" s="12"/>
      <c r="B127" s="12"/>
      <c r="C127" s="12" t="s">
        <v>115</v>
      </c>
      <c r="D127" s="12"/>
      <c r="E127" s="12" t="s">
        <v>324</v>
      </c>
      <c r="F127" s="12">
        <v>6</v>
      </c>
      <c r="G127" s="40"/>
    </row>
    <row r="128" spans="1:7" x14ac:dyDescent="0.2">
      <c r="A128" s="12"/>
      <c r="B128" s="12"/>
      <c r="C128" s="12" t="s">
        <v>117</v>
      </c>
      <c r="D128" s="12"/>
      <c r="E128" s="12" t="s">
        <v>324</v>
      </c>
      <c r="F128" s="12">
        <v>6</v>
      </c>
      <c r="G128" s="40"/>
    </row>
    <row r="129" spans="1:7" x14ac:dyDescent="0.2">
      <c r="A129" s="12"/>
      <c r="B129" s="12"/>
      <c r="C129" s="12" t="s">
        <v>118</v>
      </c>
      <c r="D129" s="12"/>
      <c r="E129" s="12" t="s">
        <v>324</v>
      </c>
      <c r="F129" s="12">
        <v>6</v>
      </c>
      <c r="G129" s="40"/>
    </row>
    <row r="130" spans="1:7" x14ac:dyDescent="0.2">
      <c r="A130" s="12"/>
      <c r="B130" s="12"/>
      <c r="C130" s="12"/>
      <c r="D130" s="22" t="s">
        <v>394</v>
      </c>
      <c r="E130" s="36">
        <v>1</v>
      </c>
      <c r="F130" s="12"/>
      <c r="G130" s="40"/>
    </row>
    <row r="131" spans="1:7" x14ac:dyDescent="0.2">
      <c r="E131">
        <f>SUM(E124:E129)*E130</f>
        <v>0</v>
      </c>
      <c r="F131">
        <f>SUM(F124:F129)</f>
        <v>36</v>
      </c>
      <c r="G131" s="40"/>
    </row>
    <row r="132" spans="1:7" x14ac:dyDescent="0.2">
      <c r="A132" s="11" t="s">
        <v>281</v>
      </c>
      <c r="B132" s="12" t="s">
        <v>119</v>
      </c>
      <c r="C132" s="12" t="s">
        <v>120</v>
      </c>
      <c r="D132" s="12"/>
      <c r="E132" s="12" t="s">
        <v>324</v>
      </c>
      <c r="F132" s="12">
        <v>10</v>
      </c>
      <c r="G132" s="40"/>
    </row>
    <row r="133" spans="1:7" x14ac:dyDescent="0.2">
      <c r="A133" s="12"/>
      <c r="B133" s="12"/>
      <c r="C133" s="12" t="s">
        <v>121</v>
      </c>
      <c r="D133" s="12" t="s">
        <v>122</v>
      </c>
      <c r="E133" s="12" t="s">
        <v>324</v>
      </c>
      <c r="F133" s="12">
        <v>5</v>
      </c>
      <c r="G133" s="40"/>
    </row>
    <row r="134" spans="1:7" x14ac:dyDescent="0.2">
      <c r="A134" s="12"/>
      <c r="B134" s="12"/>
      <c r="C134" s="12"/>
      <c r="D134" s="12" t="s">
        <v>123</v>
      </c>
      <c r="E134" s="12" t="s">
        <v>324</v>
      </c>
      <c r="F134" s="12">
        <v>5</v>
      </c>
      <c r="G134" s="40"/>
    </row>
    <row r="135" spans="1:7" x14ac:dyDescent="0.2">
      <c r="A135" s="11"/>
      <c r="B135" s="12"/>
      <c r="C135" s="12"/>
      <c r="D135" s="12" t="s">
        <v>108</v>
      </c>
      <c r="E135" s="12" t="s">
        <v>324</v>
      </c>
      <c r="F135" s="12">
        <v>5</v>
      </c>
      <c r="G135" s="40"/>
    </row>
    <row r="136" spans="1:7" x14ac:dyDescent="0.2">
      <c r="A136" s="11"/>
      <c r="B136" s="12"/>
      <c r="C136" s="12"/>
      <c r="D136" s="12" t="s">
        <v>13</v>
      </c>
      <c r="E136" s="12" t="s">
        <v>324</v>
      </c>
      <c r="F136" s="12">
        <v>5</v>
      </c>
      <c r="G136" s="40"/>
    </row>
    <row r="137" spans="1:7" x14ac:dyDescent="0.2">
      <c r="A137" s="11"/>
      <c r="B137" s="12"/>
      <c r="C137" s="12" t="s">
        <v>337</v>
      </c>
      <c r="D137" s="12"/>
      <c r="E137" s="12" t="s">
        <v>324</v>
      </c>
      <c r="F137" s="12">
        <v>10</v>
      </c>
      <c r="G137" s="40"/>
    </row>
    <row r="138" spans="1:7" x14ac:dyDescent="0.2">
      <c r="A138" s="12"/>
      <c r="B138" s="12"/>
      <c r="C138" s="12" t="s">
        <v>115</v>
      </c>
      <c r="D138" s="12"/>
      <c r="E138" s="12" t="s">
        <v>324</v>
      </c>
      <c r="F138" s="12">
        <v>5</v>
      </c>
      <c r="G138" s="40"/>
    </row>
    <row r="139" spans="1:7" x14ac:dyDescent="0.2">
      <c r="A139" s="12"/>
      <c r="B139" s="12"/>
      <c r="C139" s="12" t="s">
        <v>118</v>
      </c>
      <c r="D139" s="12"/>
      <c r="E139" s="12" t="s">
        <v>324</v>
      </c>
      <c r="F139" s="12">
        <v>5</v>
      </c>
      <c r="G139" s="40"/>
    </row>
    <row r="140" spans="1:7" x14ac:dyDescent="0.2">
      <c r="A140" s="12"/>
      <c r="B140" s="12"/>
      <c r="C140" s="12"/>
      <c r="D140" s="22" t="s">
        <v>394</v>
      </c>
      <c r="E140" s="36">
        <v>1</v>
      </c>
      <c r="F140" s="12"/>
      <c r="G140" s="40"/>
    </row>
    <row r="141" spans="1:7" x14ac:dyDescent="0.2">
      <c r="E141">
        <f>SUM(E132:E139)*E140</f>
        <v>0</v>
      </c>
      <c r="F141">
        <f>SUM(F132:F139)</f>
        <v>50</v>
      </c>
      <c r="G141" s="40"/>
    </row>
    <row r="142" spans="1:7" x14ac:dyDescent="0.2">
      <c r="A142" s="11" t="s">
        <v>338</v>
      </c>
      <c r="B142" s="12" t="s">
        <v>6</v>
      </c>
      <c r="C142" s="12" t="s">
        <v>116</v>
      </c>
      <c r="D142" s="12"/>
      <c r="E142" s="12" t="s">
        <v>324</v>
      </c>
      <c r="F142" s="12">
        <v>6</v>
      </c>
      <c r="G142" s="40"/>
    </row>
    <row r="143" spans="1:7" x14ac:dyDescent="0.2">
      <c r="A143" s="11" t="s">
        <v>339</v>
      </c>
      <c r="B143" s="12"/>
      <c r="C143" s="12" t="s">
        <v>341</v>
      </c>
      <c r="D143" s="12"/>
      <c r="E143" s="12"/>
      <c r="F143" s="12">
        <v>6</v>
      </c>
      <c r="G143" s="40"/>
    </row>
    <row r="144" spans="1:7" x14ac:dyDescent="0.2">
      <c r="A144" s="11"/>
      <c r="B144" s="12"/>
      <c r="C144" s="12" t="s">
        <v>342</v>
      </c>
      <c r="D144" s="12"/>
      <c r="E144" s="12"/>
      <c r="F144" s="12">
        <v>10</v>
      </c>
      <c r="G144" s="40"/>
    </row>
    <row r="145" spans="1:7" x14ac:dyDescent="0.2">
      <c r="A145" s="11"/>
      <c r="B145" s="12"/>
      <c r="C145" s="12" t="s">
        <v>121</v>
      </c>
      <c r="D145" s="12" t="s">
        <v>336</v>
      </c>
      <c r="E145" s="12" t="s">
        <v>324</v>
      </c>
      <c r="F145" s="12">
        <v>6</v>
      </c>
      <c r="G145" s="40"/>
    </row>
    <row r="146" spans="1:7" x14ac:dyDescent="0.2">
      <c r="A146" s="12"/>
      <c r="B146" s="12"/>
      <c r="C146" s="12"/>
      <c r="D146" s="12" t="s">
        <v>107</v>
      </c>
      <c r="E146" s="12" t="s">
        <v>324</v>
      </c>
      <c r="F146" s="12">
        <v>6</v>
      </c>
      <c r="G146" s="40"/>
    </row>
    <row r="147" spans="1:7" x14ac:dyDescent="0.2">
      <c r="A147" s="12"/>
      <c r="B147" s="12"/>
      <c r="C147" s="12" t="s">
        <v>115</v>
      </c>
      <c r="D147" s="12"/>
      <c r="E147" s="12" t="s">
        <v>324</v>
      </c>
      <c r="F147" s="12">
        <v>6</v>
      </c>
      <c r="G147" s="40"/>
    </row>
    <row r="148" spans="1:7" x14ac:dyDescent="0.2">
      <c r="A148" s="12"/>
      <c r="B148" s="12"/>
      <c r="C148" s="12" t="s">
        <v>117</v>
      </c>
      <c r="D148" s="12"/>
      <c r="E148" s="12" t="s">
        <v>324</v>
      </c>
      <c r="F148" s="12">
        <v>6</v>
      </c>
      <c r="G148" s="40"/>
    </row>
    <row r="149" spans="1:7" x14ac:dyDescent="0.2">
      <c r="A149" s="12"/>
      <c r="B149" s="12"/>
      <c r="C149" s="12" t="s">
        <v>118</v>
      </c>
      <c r="D149" s="12"/>
      <c r="E149" s="12" t="s">
        <v>324</v>
      </c>
      <c r="F149" s="12">
        <v>6</v>
      </c>
      <c r="G149" s="40"/>
    </row>
    <row r="150" spans="1:7" x14ac:dyDescent="0.2">
      <c r="A150" s="12"/>
      <c r="B150" s="12"/>
      <c r="C150" s="12"/>
      <c r="D150" s="22" t="s">
        <v>394</v>
      </c>
      <c r="E150" s="36">
        <v>1</v>
      </c>
      <c r="F150" s="12"/>
      <c r="G150" s="40"/>
    </row>
    <row r="151" spans="1:7" x14ac:dyDescent="0.2">
      <c r="E151">
        <f>SUM(E142:E149)*E150</f>
        <v>0</v>
      </c>
      <c r="F151">
        <f>SUM(F142:F149)</f>
        <v>52</v>
      </c>
      <c r="G151" s="40"/>
    </row>
    <row r="152" spans="1:7" x14ac:dyDescent="0.2">
      <c r="A152" s="11" t="s">
        <v>343</v>
      </c>
      <c r="B152" s="12" t="s">
        <v>119</v>
      </c>
      <c r="C152" s="12" t="s">
        <v>120</v>
      </c>
      <c r="D152" s="12"/>
      <c r="E152" s="12" t="s">
        <v>324</v>
      </c>
      <c r="F152" s="12">
        <v>10</v>
      </c>
      <c r="G152" s="40"/>
    </row>
    <row r="153" spans="1:7" x14ac:dyDescent="0.2">
      <c r="A153" s="12"/>
      <c r="B153" s="12"/>
      <c r="C153" s="12" t="s">
        <v>121</v>
      </c>
      <c r="D153" s="12" t="s">
        <v>122</v>
      </c>
      <c r="E153" s="12" t="s">
        <v>324</v>
      </c>
      <c r="F153" s="12">
        <v>5</v>
      </c>
      <c r="G153" s="40"/>
    </row>
    <row r="154" spans="1:7" x14ac:dyDescent="0.2">
      <c r="A154" s="12"/>
      <c r="B154" s="12"/>
      <c r="C154" s="12"/>
      <c r="D154" s="12" t="s">
        <v>123</v>
      </c>
      <c r="E154" s="12" t="s">
        <v>324</v>
      </c>
      <c r="F154" s="12">
        <v>5</v>
      </c>
      <c r="G154" s="40"/>
    </row>
    <row r="155" spans="1:7" x14ac:dyDescent="0.2">
      <c r="A155" s="11"/>
      <c r="B155" s="12"/>
      <c r="C155" s="12"/>
      <c r="D155" s="12" t="s">
        <v>108</v>
      </c>
      <c r="E155" s="12" t="s">
        <v>324</v>
      </c>
      <c r="F155" s="12">
        <v>5</v>
      </c>
      <c r="G155" s="40"/>
    </row>
    <row r="156" spans="1:7" x14ac:dyDescent="0.2">
      <c r="A156" s="11"/>
      <c r="B156" s="12"/>
      <c r="C156" s="12"/>
      <c r="D156" s="12" t="s">
        <v>13</v>
      </c>
      <c r="E156" s="12" t="s">
        <v>324</v>
      </c>
      <c r="F156" s="12">
        <v>5</v>
      </c>
      <c r="G156" s="40"/>
    </row>
    <row r="157" spans="1:7" x14ac:dyDescent="0.2">
      <c r="A157" s="11"/>
      <c r="B157" s="12"/>
      <c r="C157" s="12" t="s">
        <v>342</v>
      </c>
      <c r="D157" s="12"/>
      <c r="E157" s="12"/>
      <c r="F157" s="12">
        <v>10</v>
      </c>
      <c r="G157" s="40"/>
    </row>
    <row r="158" spans="1:7" x14ac:dyDescent="0.2">
      <c r="A158" s="11"/>
      <c r="B158" s="12"/>
      <c r="C158" s="12" t="s">
        <v>337</v>
      </c>
      <c r="D158" s="12"/>
      <c r="E158" s="12" t="s">
        <v>324</v>
      </c>
      <c r="F158" s="12">
        <v>10</v>
      </c>
      <c r="G158" s="40"/>
    </row>
    <row r="159" spans="1:7" x14ac:dyDescent="0.2">
      <c r="A159" s="12"/>
      <c r="B159" s="12"/>
      <c r="C159" s="12" t="s">
        <v>115</v>
      </c>
      <c r="D159" s="12"/>
      <c r="E159" s="12" t="s">
        <v>324</v>
      </c>
      <c r="F159" s="12">
        <v>5</v>
      </c>
      <c r="G159" s="40"/>
    </row>
    <row r="160" spans="1:7" x14ac:dyDescent="0.2">
      <c r="A160" s="12"/>
      <c r="B160" s="12"/>
      <c r="C160" s="12" t="s">
        <v>118</v>
      </c>
      <c r="D160" s="12"/>
      <c r="E160" s="12" t="s">
        <v>324</v>
      </c>
      <c r="F160" s="12">
        <v>5</v>
      </c>
      <c r="G160" s="40"/>
    </row>
    <row r="161" spans="1:7" x14ac:dyDescent="0.2">
      <c r="A161" s="12"/>
      <c r="B161" s="12"/>
      <c r="C161" s="12"/>
      <c r="D161" s="22" t="s">
        <v>394</v>
      </c>
      <c r="E161" s="36">
        <v>1</v>
      </c>
      <c r="F161" s="12"/>
      <c r="G161" s="40"/>
    </row>
    <row r="162" spans="1:7" x14ac:dyDescent="0.2">
      <c r="E162">
        <f>SUM(E152:E160)*E161</f>
        <v>0</v>
      </c>
      <c r="F162">
        <f>SUM(F152:F160)</f>
        <v>60</v>
      </c>
      <c r="G162" s="40"/>
    </row>
    <row r="163" spans="1:7" x14ac:dyDescent="0.2">
      <c r="G163" s="35"/>
    </row>
    <row r="164" spans="1:7" x14ac:dyDescent="0.2">
      <c r="A164" s="16" t="s">
        <v>130</v>
      </c>
      <c r="B164" s="14" t="s">
        <v>134</v>
      </c>
      <c r="C164" s="14" t="s">
        <v>54</v>
      </c>
      <c r="D164" s="14"/>
      <c r="E164" s="14"/>
      <c r="F164" s="14">
        <v>20</v>
      </c>
    </row>
    <row r="165" spans="1:7" x14ac:dyDescent="0.2">
      <c r="A165" s="16"/>
      <c r="B165" s="14"/>
      <c r="C165" s="14" t="s">
        <v>132</v>
      </c>
      <c r="D165" s="14"/>
      <c r="E165" s="14"/>
      <c r="F165" s="14">
        <v>20</v>
      </c>
    </row>
    <row r="166" spans="1:7" x14ac:dyDescent="0.2">
      <c r="A166" s="16"/>
      <c r="B166" s="14"/>
      <c r="C166" s="14" t="s">
        <v>129</v>
      </c>
      <c r="D166" s="14"/>
      <c r="E166" s="14"/>
      <c r="F166" s="14">
        <v>20</v>
      </c>
    </row>
    <row r="167" spans="1:7" x14ac:dyDescent="0.2">
      <c r="A167" s="16"/>
      <c r="B167" s="14"/>
      <c r="C167" s="14"/>
      <c r="D167" s="22" t="s">
        <v>394</v>
      </c>
      <c r="E167" s="36">
        <v>1</v>
      </c>
      <c r="F167" s="14"/>
    </row>
    <row r="168" spans="1:7" x14ac:dyDescent="0.2">
      <c r="A168" s="1"/>
      <c r="E168">
        <f>-SUM(E164:E166)*E167</f>
        <v>0</v>
      </c>
      <c r="F168">
        <f>SUM(F164:F166)</f>
        <v>60</v>
      </c>
    </row>
    <row r="169" spans="1:7" x14ac:dyDescent="0.2">
      <c r="A169" s="16" t="s">
        <v>130</v>
      </c>
      <c r="B169" s="14" t="s">
        <v>119</v>
      </c>
      <c r="C169" s="14" t="s">
        <v>54</v>
      </c>
      <c r="D169" s="14"/>
      <c r="E169" s="14"/>
      <c r="F169" s="14">
        <v>10</v>
      </c>
    </row>
    <row r="170" spans="1:7" x14ac:dyDescent="0.2">
      <c r="A170" s="16"/>
      <c r="B170" s="14"/>
      <c r="C170" s="14" t="s">
        <v>131</v>
      </c>
      <c r="D170" s="14"/>
      <c r="E170" s="14"/>
      <c r="F170" s="14">
        <v>10</v>
      </c>
    </row>
    <row r="171" spans="1:7" x14ac:dyDescent="0.2">
      <c r="A171" s="16"/>
      <c r="B171" s="14"/>
      <c r="C171" s="14" t="s">
        <v>132</v>
      </c>
      <c r="D171" s="14"/>
      <c r="E171" s="14"/>
      <c r="F171" s="14">
        <v>10</v>
      </c>
    </row>
    <row r="172" spans="1:7" x14ac:dyDescent="0.2">
      <c r="A172" s="16"/>
      <c r="B172" s="14"/>
      <c r="C172" s="14" t="s">
        <v>129</v>
      </c>
      <c r="D172" s="14"/>
      <c r="E172" s="14"/>
      <c r="F172" s="14">
        <v>10</v>
      </c>
    </row>
    <row r="173" spans="1:7" x14ac:dyDescent="0.2">
      <c r="A173" s="16"/>
      <c r="B173" s="14"/>
      <c r="C173" s="14" t="s">
        <v>133</v>
      </c>
      <c r="D173" s="14"/>
      <c r="E173" s="14"/>
      <c r="F173" s="14">
        <v>15</v>
      </c>
    </row>
    <row r="174" spans="1:7" x14ac:dyDescent="0.2">
      <c r="A174" s="16"/>
      <c r="B174" s="14"/>
      <c r="C174" s="14"/>
      <c r="D174" s="22" t="s">
        <v>394</v>
      </c>
      <c r="E174" s="36">
        <v>1</v>
      </c>
      <c r="F174" s="14"/>
    </row>
    <row r="175" spans="1:7" x14ac:dyDescent="0.2">
      <c r="A175" s="1"/>
      <c r="E175">
        <f>-SUM(E169:E173)*E174</f>
        <v>0</v>
      </c>
      <c r="F175">
        <f>SUM(F169:F173)</f>
        <v>55</v>
      </c>
    </row>
    <row r="176" spans="1:7" x14ac:dyDescent="0.2">
      <c r="A176" s="16" t="s">
        <v>344</v>
      </c>
      <c r="B176" s="14" t="s">
        <v>114</v>
      </c>
      <c r="C176" s="14" t="s">
        <v>6</v>
      </c>
      <c r="D176" s="14"/>
      <c r="E176" s="14" t="s">
        <v>324</v>
      </c>
      <c r="F176" s="14">
        <v>6</v>
      </c>
    </row>
    <row r="177" spans="1:6" x14ac:dyDescent="0.2">
      <c r="A177" s="16" t="s">
        <v>345</v>
      </c>
      <c r="B177" s="14"/>
      <c r="C177" s="14" t="s">
        <v>346</v>
      </c>
      <c r="D177" s="14"/>
      <c r="E177" s="14"/>
      <c r="F177" s="14">
        <v>6</v>
      </c>
    </row>
    <row r="178" spans="1:6" x14ac:dyDescent="0.2">
      <c r="A178" s="16"/>
      <c r="B178" s="14"/>
      <c r="C178" s="14" t="s">
        <v>116</v>
      </c>
      <c r="D178" s="14"/>
      <c r="E178" s="14"/>
      <c r="F178" s="14">
        <v>6</v>
      </c>
    </row>
    <row r="179" spans="1:6" x14ac:dyDescent="0.2">
      <c r="A179" s="16"/>
      <c r="B179" s="14"/>
      <c r="C179" s="14" t="s">
        <v>341</v>
      </c>
      <c r="D179" s="14"/>
      <c r="E179" s="14"/>
      <c r="F179" s="14">
        <v>6</v>
      </c>
    </row>
    <row r="180" spans="1:6" x14ac:dyDescent="0.2">
      <c r="A180" s="16"/>
      <c r="B180" s="14"/>
      <c r="C180" s="14" t="s">
        <v>342</v>
      </c>
      <c r="D180" s="14"/>
      <c r="E180" s="14"/>
      <c r="F180" s="14">
        <v>20</v>
      </c>
    </row>
    <row r="181" spans="1:6" x14ac:dyDescent="0.2">
      <c r="A181" s="16"/>
      <c r="B181" s="14"/>
      <c r="C181" s="14" t="s">
        <v>121</v>
      </c>
      <c r="D181" s="14" t="s">
        <v>336</v>
      </c>
      <c r="E181" s="14" t="s">
        <v>324</v>
      </c>
      <c r="F181" s="14">
        <v>6</v>
      </c>
    </row>
    <row r="182" spans="1:6" x14ac:dyDescent="0.2">
      <c r="A182" s="14"/>
      <c r="B182" s="14"/>
      <c r="C182" s="14"/>
      <c r="D182" s="14" t="s">
        <v>107</v>
      </c>
      <c r="E182" s="14" t="s">
        <v>324</v>
      </c>
      <c r="F182" s="14">
        <v>6</v>
      </c>
    </row>
    <row r="183" spans="1:6" x14ac:dyDescent="0.2">
      <c r="A183" s="14"/>
      <c r="B183" s="14"/>
      <c r="C183" s="14" t="s">
        <v>115</v>
      </c>
      <c r="D183" s="14"/>
      <c r="E183" s="14" t="s">
        <v>324</v>
      </c>
      <c r="F183" s="14">
        <v>6</v>
      </c>
    </row>
    <row r="184" spans="1:6" x14ac:dyDescent="0.2">
      <c r="A184" s="14"/>
      <c r="B184" s="14"/>
      <c r="C184" s="14" t="s">
        <v>117</v>
      </c>
      <c r="D184" s="14"/>
      <c r="E184" s="14" t="s">
        <v>324</v>
      </c>
      <c r="F184" s="14">
        <v>6</v>
      </c>
    </row>
    <row r="185" spans="1:6" x14ac:dyDescent="0.2">
      <c r="A185" s="14"/>
      <c r="B185" s="14"/>
      <c r="C185" s="14" t="s">
        <v>118</v>
      </c>
      <c r="D185" s="14"/>
      <c r="E185" s="14" t="s">
        <v>324</v>
      </c>
      <c r="F185" s="14">
        <v>6</v>
      </c>
    </row>
    <row r="186" spans="1:6" x14ac:dyDescent="0.2">
      <c r="A186" s="14"/>
      <c r="B186" s="14"/>
      <c r="C186" s="14"/>
      <c r="D186" s="22" t="s">
        <v>394</v>
      </c>
      <c r="E186" s="36">
        <v>1</v>
      </c>
      <c r="F186" s="14"/>
    </row>
    <row r="187" spans="1:6" x14ac:dyDescent="0.2">
      <c r="E187">
        <f>SUM(E176:E185)*E186</f>
        <v>0</v>
      </c>
      <c r="F187">
        <f>SUM(F176:F185)</f>
        <v>74</v>
      </c>
    </row>
    <row r="188" spans="1:6" x14ac:dyDescent="0.2">
      <c r="A188" s="16" t="s">
        <v>344</v>
      </c>
      <c r="B188" s="14" t="s">
        <v>119</v>
      </c>
      <c r="C188" s="14" t="s">
        <v>120</v>
      </c>
      <c r="D188" s="14"/>
      <c r="E188" s="14" t="s">
        <v>324</v>
      </c>
      <c r="F188" s="14">
        <v>10</v>
      </c>
    </row>
    <row r="189" spans="1:6" x14ac:dyDescent="0.2">
      <c r="A189" s="14" t="s">
        <v>345</v>
      </c>
      <c r="B189" s="14"/>
      <c r="C189" s="14" t="s">
        <v>53</v>
      </c>
      <c r="D189" s="14"/>
      <c r="E189" s="14"/>
      <c r="F189" s="14">
        <v>5</v>
      </c>
    </row>
    <row r="190" spans="1:6" x14ac:dyDescent="0.2">
      <c r="A190" s="16"/>
      <c r="B190" s="14"/>
      <c r="C190" s="14" t="s">
        <v>277</v>
      </c>
      <c r="D190" s="14"/>
      <c r="E190" s="14"/>
      <c r="F190" s="14">
        <v>5</v>
      </c>
    </row>
    <row r="191" spans="1:6" x14ac:dyDescent="0.2">
      <c r="A191" s="14"/>
      <c r="B191" s="14"/>
      <c r="C191" s="14" t="s">
        <v>121</v>
      </c>
      <c r="D191" s="14" t="s">
        <v>122</v>
      </c>
      <c r="E191" s="14" t="s">
        <v>324</v>
      </c>
      <c r="F191" s="14">
        <v>5</v>
      </c>
    </row>
    <row r="192" spans="1:6" x14ac:dyDescent="0.2">
      <c r="A192" s="14"/>
      <c r="B192" s="14"/>
      <c r="C192" s="14"/>
      <c r="D192" s="14" t="s">
        <v>123</v>
      </c>
      <c r="E192" s="14" t="s">
        <v>324</v>
      </c>
      <c r="F192" s="14">
        <v>5</v>
      </c>
    </row>
    <row r="193" spans="1:9" x14ac:dyDescent="0.2">
      <c r="A193" s="16"/>
      <c r="B193" s="14"/>
      <c r="C193" s="14"/>
      <c r="D193" s="14" t="s">
        <v>108</v>
      </c>
      <c r="E193" s="14" t="s">
        <v>324</v>
      </c>
      <c r="F193" s="14">
        <v>5</v>
      </c>
    </row>
    <row r="194" spans="1:9" x14ac:dyDescent="0.2">
      <c r="A194" s="16"/>
      <c r="B194" s="14"/>
      <c r="C194" s="14"/>
      <c r="D194" s="14" t="s">
        <v>13</v>
      </c>
      <c r="E194" s="14" t="s">
        <v>324</v>
      </c>
      <c r="F194" s="14">
        <v>5</v>
      </c>
    </row>
    <row r="195" spans="1:9" x14ac:dyDescent="0.2">
      <c r="A195" s="14"/>
      <c r="B195" s="14"/>
      <c r="C195" s="14" t="s">
        <v>115</v>
      </c>
      <c r="D195" s="14"/>
      <c r="E195" s="14" t="s">
        <v>324</v>
      </c>
      <c r="F195" s="14">
        <v>5</v>
      </c>
    </row>
    <row r="196" spans="1:9" x14ac:dyDescent="0.2">
      <c r="A196" s="14"/>
      <c r="B196" s="14"/>
      <c r="C196" s="14" t="s">
        <v>118</v>
      </c>
      <c r="D196" s="14"/>
      <c r="E196" s="14" t="s">
        <v>324</v>
      </c>
      <c r="F196" s="14">
        <v>5</v>
      </c>
    </row>
    <row r="197" spans="1:9" x14ac:dyDescent="0.2">
      <c r="A197" s="14"/>
      <c r="B197" s="14"/>
      <c r="C197" s="14"/>
      <c r="D197" s="22" t="s">
        <v>394</v>
      </c>
      <c r="E197" s="36">
        <v>1</v>
      </c>
      <c r="F197" s="14"/>
    </row>
    <row r="198" spans="1:9" x14ac:dyDescent="0.2">
      <c r="E198">
        <f>SUM(E188:E196)*E197</f>
        <v>0</v>
      </c>
      <c r="F198">
        <f>SUM(F188:F196)</f>
        <v>50</v>
      </c>
    </row>
    <row r="199" spans="1:9" x14ac:dyDescent="0.2">
      <c r="A199" s="16" t="s">
        <v>347</v>
      </c>
      <c r="B199" s="14" t="s">
        <v>54</v>
      </c>
      <c r="C199" s="14"/>
      <c r="D199" s="14"/>
      <c r="E199" s="14"/>
      <c r="F199" s="14">
        <v>20</v>
      </c>
    </row>
    <row r="200" spans="1:9" x14ac:dyDescent="0.2">
      <c r="A200" s="16"/>
      <c r="B200" s="14" t="s">
        <v>132</v>
      </c>
      <c r="C200" s="14"/>
      <c r="D200" s="14"/>
      <c r="E200" s="14"/>
      <c r="F200" s="14">
        <v>20</v>
      </c>
    </row>
    <row r="201" spans="1:9" x14ac:dyDescent="0.2">
      <c r="A201" s="16"/>
      <c r="B201" s="14" t="s">
        <v>129</v>
      </c>
      <c r="C201" s="14"/>
      <c r="D201" s="14"/>
      <c r="E201" s="14"/>
      <c r="F201" s="14">
        <v>20</v>
      </c>
    </row>
    <row r="202" spans="1:9" x14ac:dyDescent="0.2">
      <c r="A202" s="16"/>
      <c r="B202" s="14"/>
      <c r="C202" s="14"/>
      <c r="D202" s="22" t="s">
        <v>394</v>
      </c>
      <c r="E202" s="36">
        <v>1</v>
      </c>
      <c r="F202" s="14"/>
    </row>
    <row r="203" spans="1:9" x14ac:dyDescent="0.2">
      <c r="A203" s="1"/>
      <c r="E203">
        <f>SUM(E199:E201)*E202</f>
        <v>0</v>
      </c>
      <c r="F203">
        <f>SUM(F199:F201)</f>
        <v>60</v>
      </c>
    </row>
    <row r="204" spans="1:9" x14ac:dyDescent="0.2">
      <c r="A204" s="1"/>
    </row>
    <row r="205" spans="1:9" s="5" customFormat="1" ht="19" x14ac:dyDescent="0.25">
      <c r="A205" s="5" t="s">
        <v>383</v>
      </c>
    </row>
    <row r="206" spans="1:9" x14ac:dyDescent="0.2">
      <c r="A206" s="1" t="s">
        <v>62</v>
      </c>
      <c r="B206" s="12" t="s">
        <v>63</v>
      </c>
      <c r="C206" s="12" t="s">
        <v>64</v>
      </c>
      <c r="D206" s="12"/>
      <c r="E206" s="12"/>
      <c r="F206" s="12">
        <v>5</v>
      </c>
      <c r="I206" s="1"/>
    </row>
    <row r="207" spans="1:9" x14ac:dyDescent="0.2">
      <c r="A207" s="1"/>
      <c r="B207" s="12"/>
      <c r="C207" s="12" t="s">
        <v>65</v>
      </c>
      <c r="D207" s="12"/>
      <c r="E207" s="12"/>
      <c r="F207" s="12">
        <v>5</v>
      </c>
    </row>
    <row r="208" spans="1:9" x14ac:dyDescent="0.2">
      <c r="A208" s="1"/>
      <c r="B208" s="12"/>
      <c r="C208" s="12" t="s">
        <v>53</v>
      </c>
      <c r="D208" s="12"/>
      <c r="E208" s="12"/>
      <c r="F208" s="12">
        <v>5</v>
      </c>
    </row>
    <row r="209" spans="1:6" x14ac:dyDescent="0.2">
      <c r="A209" s="1"/>
      <c r="B209" s="12"/>
      <c r="C209" s="12" t="s">
        <v>254</v>
      </c>
      <c r="D209" s="12"/>
      <c r="E209" s="12"/>
      <c r="F209" s="12">
        <v>5</v>
      </c>
    </row>
    <row r="210" spans="1:6" x14ac:dyDescent="0.2">
      <c r="A210" s="1"/>
      <c r="B210" s="12"/>
      <c r="C210" s="12" t="s">
        <v>253</v>
      </c>
      <c r="D210" s="12"/>
      <c r="E210" s="12"/>
      <c r="F210" s="12">
        <v>5</v>
      </c>
    </row>
    <row r="211" spans="1:6" x14ac:dyDescent="0.2">
      <c r="A211" s="1"/>
      <c r="B211" s="12"/>
      <c r="C211" s="12" t="s">
        <v>67</v>
      </c>
      <c r="D211" s="12"/>
      <c r="E211" s="12"/>
      <c r="F211" s="12">
        <v>5</v>
      </c>
    </row>
    <row r="212" spans="1:6" x14ac:dyDescent="0.2">
      <c r="A212" s="1"/>
      <c r="B212" s="12"/>
      <c r="C212" s="12" t="s">
        <v>68</v>
      </c>
      <c r="D212" s="12"/>
      <c r="E212" s="12"/>
      <c r="F212" s="12">
        <v>5</v>
      </c>
    </row>
    <row r="213" spans="1:6" x14ac:dyDescent="0.2">
      <c r="A213" s="1"/>
      <c r="B213" s="12"/>
      <c r="C213" s="12" t="s">
        <v>102</v>
      </c>
      <c r="D213" s="12"/>
      <c r="E213" s="12"/>
      <c r="F213" s="12">
        <v>5</v>
      </c>
    </row>
    <row r="214" spans="1:6" x14ac:dyDescent="0.2">
      <c r="A214" s="1"/>
      <c r="B214" s="12"/>
      <c r="C214" s="12"/>
      <c r="D214" s="22" t="s">
        <v>394</v>
      </c>
      <c r="E214" s="36">
        <v>1</v>
      </c>
      <c r="F214" s="12"/>
    </row>
    <row r="215" spans="1:6" x14ac:dyDescent="0.2">
      <c r="A215" s="1"/>
      <c r="E215">
        <f>-SUM(E206:E213)*E214</f>
        <v>0</v>
      </c>
      <c r="F215">
        <f>SUM(F206:F213)</f>
        <v>40</v>
      </c>
    </row>
    <row r="216" spans="1:6" x14ac:dyDescent="0.2">
      <c r="A216" s="1"/>
      <c r="B216" s="13" t="s">
        <v>63</v>
      </c>
      <c r="C216" s="13" t="s">
        <v>64</v>
      </c>
      <c r="D216" s="13"/>
      <c r="E216" s="13"/>
      <c r="F216" s="13">
        <v>5</v>
      </c>
    </row>
    <row r="217" spans="1:6" x14ac:dyDescent="0.2">
      <c r="A217" s="1"/>
      <c r="B217" s="13"/>
      <c r="C217" s="13" t="s">
        <v>65</v>
      </c>
      <c r="D217" s="13"/>
      <c r="E217" s="13"/>
      <c r="F217" s="13">
        <v>5</v>
      </c>
    </row>
    <row r="218" spans="1:6" x14ac:dyDescent="0.2">
      <c r="A218" s="1"/>
      <c r="B218" s="13"/>
      <c r="C218" s="13" t="s">
        <v>53</v>
      </c>
      <c r="D218" s="13"/>
      <c r="E218" s="13"/>
      <c r="F218" s="13">
        <v>5</v>
      </c>
    </row>
    <row r="219" spans="1:6" x14ac:dyDescent="0.2">
      <c r="A219" s="1"/>
      <c r="B219" s="13"/>
      <c r="C219" s="13" t="s">
        <v>66</v>
      </c>
      <c r="D219" s="13"/>
      <c r="E219" s="13"/>
      <c r="F219" s="13">
        <v>5</v>
      </c>
    </row>
    <row r="220" spans="1:6" x14ac:dyDescent="0.2">
      <c r="A220" s="1"/>
      <c r="B220" s="13"/>
      <c r="C220" s="13" t="s">
        <v>52</v>
      </c>
      <c r="D220" s="13"/>
      <c r="E220" s="13"/>
      <c r="F220" s="13">
        <v>5</v>
      </c>
    </row>
    <row r="221" spans="1:6" x14ac:dyDescent="0.2">
      <c r="A221" s="1"/>
      <c r="B221" s="13"/>
      <c r="C221" s="13" t="s">
        <v>67</v>
      </c>
      <c r="D221" s="13"/>
      <c r="E221" s="13"/>
      <c r="F221" s="13">
        <v>5</v>
      </c>
    </row>
    <row r="222" spans="1:6" x14ac:dyDescent="0.2">
      <c r="A222" s="1"/>
      <c r="B222" s="13"/>
      <c r="C222" s="13" t="s">
        <v>68</v>
      </c>
      <c r="D222" s="13"/>
      <c r="E222" s="13"/>
      <c r="F222" s="13">
        <v>5</v>
      </c>
    </row>
    <row r="223" spans="1:6" x14ac:dyDescent="0.2">
      <c r="A223" s="1"/>
      <c r="B223" s="13"/>
      <c r="C223" s="13" t="s">
        <v>102</v>
      </c>
      <c r="D223" s="13"/>
      <c r="E223" s="13"/>
      <c r="F223" s="13">
        <v>5</v>
      </c>
    </row>
    <row r="224" spans="1:6" x14ac:dyDescent="0.2">
      <c r="A224" s="1"/>
      <c r="B224" s="13"/>
      <c r="C224" s="13"/>
      <c r="D224" s="22" t="s">
        <v>394</v>
      </c>
      <c r="E224" s="36">
        <v>1</v>
      </c>
      <c r="F224" s="13"/>
    </row>
    <row r="225" spans="1:6" x14ac:dyDescent="0.2">
      <c r="A225" s="1"/>
      <c r="E225">
        <f>-SUM(E216:E223)*E224</f>
        <v>0</v>
      </c>
      <c r="F225">
        <f>SUM(F216:F223)</f>
        <v>40</v>
      </c>
    </row>
    <row r="226" spans="1:6" x14ac:dyDescent="0.2">
      <c r="A226" s="1"/>
      <c r="B226" s="14" t="s">
        <v>63</v>
      </c>
      <c r="C226" s="14" t="s">
        <v>64</v>
      </c>
      <c r="D226" s="14"/>
      <c r="E226" s="14"/>
      <c r="F226" s="14">
        <v>5</v>
      </c>
    </row>
    <row r="227" spans="1:6" x14ac:dyDescent="0.2">
      <c r="A227" s="1"/>
      <c r="B227" s="14"/>
      <c r="C227" s="14" t="s">
        <v>65</v>
      </c>
      <c r="D227" s="14"/>
      <c r="E227" s="14"/>
      <c r="F227" s="14">
        <v>5</v>
      </c>
    </row>
    <row r="228" spans="1:6" x14ac:dyDescent="0.2">
      <c r="A228" s="1"/>
      <c r="B228" s="14"/>
      <c r="C228" s="14" t="s">
        <v>53</v>
      </c>
      <c r="D228" s="14"/>
      <c r="E228" s="14"/>
      <c r="F228" s="14">
        <v>5</v>
      </c>
    </row>
    <row r="229" spans="1:6" x14ac:dyDescent="0.2">
      <c r="A229" s="1"/>
      <c r="B229" s="14"/>
      <c r="C229" s="14" t="s">
        <v>66</v>
      </c>
      <c r="D229" s="14"/>
      <c r="E229" s="14"/>
      <c r="F229" s="14">
        <v>5</v>
      </c>
    </row>
    <row r="230" spans="1:6" x14ac:dyDescent="0.2">
      <c r="A230" s="1"/>
      <c r="B230" s="14"/>
      <c r="C230" s="14" t="s">
        <v>52</v>
      </c>
      <c r="D230" s="14"/>
      <c r="E230" s="14"/>
      <c r="F230" s="14">
        <v>5</v>
      </c>
    </row>
    <row r="231" spans="1:6" x14ac:dyDescent="0.2">
      <c r="A231" s="1"/>
      <c r="B231" s="14"/>
      <c r="C231" s="14" t="s">
        <v>67</v>
      </c>
      <c r="D231" s="14"/>
      <c r="E231" s="14"/>
      <c r="F231" s="14">
        <v>5</v>
      </c>
    </row>
    <row r="232" spans="1:6" x14ac:dyDescent="0.2">
      <c r="A232" s="1"/>
      <c r="B232" s="14"/>
      <c r="C232" s="14" t="s">
        <v>68</v>
      </c>
      <c r="D232" s="14"/>
      <c r="E232" s="14"/>
      <c r="F232" s="14">
        <v>5</v>
      </c>
    </row>
    <row r="233" spans="1:6" x14ac:dyDescent="0.2">
      <c r="A233" s="1"/>
      <c r="B233" s="14"/>
      <c r="C233" s="14" t="s">
        <v>102</v>
      </c>
      <c r="D233" s="14"/>
      <c r="E233" s="14"/>
      <c r="F233" s="14">
        <v>5</v>
      </c>
    </row>
    <row r="234" spans="1:6" x14ac:dyDescent="0.2">
      <c r="A234" s="1"/>
      <c r="B234" s="14"/>
      <c r="C234" s="14"/>
      <c r="D234" s="22" t="s">
        <v>394</v>
      </c>
      <c r="E234" s="36">
        <v>1</v>
      </c>
      <c r="F234" s="14"/>
    </row>
    <row r="235" spans="1:6" x14ac:dyDescent="0.2">
      <c r="A235" s="1"/>
      <c r="E235">
        <f>-SUM(E226:E233)*E234</f>
        <v>0</v>
      </c>
      <c r="F235">
        <f>SUM(F226:F233)</f>
        <v>40</v>
      </c>
    </row>
    <row r="236" spans="1:6" x14ac:dyDescent="0.2">
      <c r="A236" s="15" t="s">
        <v>282</v>
      </c>
      <c r="B236" s="13" t="s">
        <v>22</v>
      </c>
      <c r="C236" s="13" t="s">
        <v>6</v>
      </c>
      <c r="D236" s="13"/>
      <c r="E236" s="13"/>
      <c r="F236" s="13">
        <v>10</v>
      </c>
    </row>
    <row r="237" spans="1:6" x14ac:dyDescent="0.2">
      <c r="A237" s="13"/>
      <c r="B237" s="13"/>
      <c r="C237" s="13" t="s">
        <v>24</v>
      </c>
      <c r="D237" s="13"/>
      <c r="E237" s="13"/>
      <c r="F237" s="13">
        <v>10</v>
      </c>
    </row>
    <row r="238" spans="1:6" x14ac:dyDescent="0.2">
      <c r="A238" s="13"/>
      <c r="B238" s="13"/>
      <c r="C238" s="13" t="s">
        <v>28</v>
      </c>
      <c r="D238" s="13"/>
      <c r="E238" s="13"/>
      <c r="F238" s="13">
        <v>10</v>
      </c>
    </row>
    <row r="239" spans="1:6" x14ac:dyDescent="0.2">
      <c r="A239" s="13"/>
      <c r="B239" s="13"/>
      <c r="C239" s="13" t="s">
        <v>23</v>
      </c>
      <c r="D239" s="13"/>
      <c r="E239" s="13"/>
      <c r="F239" s="13">
        <v>10</v>
      </c>
    </row>
    <row r="240" spans="1:6" x14ac:dyDescent="0.2">
      <c r="A240" s="13"/>
      <c r="B240" s="13"/>
      <c r="C240" s="13" t="s">
        <v>34</v>
      </c>
      <c r="D240" s="13"/>
      <c r="E240" s="13"/>
      <c r="F240" s="13">
        <v>20</v>
      </c>
    </row>
    <row r="241" spans="1:6" x14ac:dyDescent="0.2">
      <c r="A241" s="13"/>
      <c r="B241" s="13"/>
      <c r="C241" s="13" t="s">
        <v>26</v>
      </c>
      <c r="D241" s="13"/>
      <c r="E241" s="13"/>
      <c r="F241" s="13">
        <v>10</v>
      </c>
    </row>
    <row r="242" spans="1:6" x14ac:dyDescent="0.2">
      <c r="A242" s="13"/>
      <c r="B242" s="13"/>
      <c r="C242" s="13" t="s">
        <v>27</v>
      </c>
      <c r="D242" s="13"/>
      <c r="E242" s="13"/>
      <c r="F242" s="13">
        <v>10</v>
      </c>
    </row>
    <row r="243" spans="1:6" x14ac:dyDescent="0.2">
      <c r="A243" s="13"/>
      <c r="B243" s="13"/>
      <c r="C243" s="13" t="s">
        <v>25</v>
      </c>
      <c r="D243" s="13"/>
      <c r="E243" s="13"/>
      <c r="F243" s="13">
        <v>30</v>
      </c>
    </row>
    <row r="244" spans="1:6" x14ac:dyDescent="0.2">
      <c r="A244" s="15"/>
      <c r="B244" s="13"/>
      <c r="C244" s="13" t="s">
        <v>102</v>
      </c>
      <c r="D244" s="13"/>
      <c r="E244" s="13"/>
      <c r="F244" s="13">
        <v>10</v>
      </c>
    </row>
    <row r="245" spans="1:6" x14ac:dyDescent="0.2">
      <c r="A245" s="13"/>
      <c r="B245" s="13"/>
      <c r="C245" s="13"/>
      <c r="D245" s="22" t="s">
        <v>394</v>
      </c>
      <c r="E245" s="36">
        <v>1</v>
      </c>
      <c r="F245" s="13"/>
    </row>
    <row r="246" spans="1:6" x14ac:dyDescent="0.2">
      <c r="A246" s="33"/>
      <c r="B246" s="33"/>
      <c r="C246" s="33"/>
      <c r="D246" s="33"/>
      <c r="E246" s="34">
        <f>SUM(E236:E244)*E245</f>
        <v>0</v>
      </c>
      <c r="F246" s="34">
        <f>SUM(F236:F245)</f>
        <v>120</v>
      </c>
    </row>
    <row r="247" spans="1:6" x14ac:dyDescent="0.2">
      <c r="A247" s="33"/>
      <c r="B247" s="33"/>
      <c r="C247" s="33"/>
      <c r="D247" s="33"/>
      <c r="E247" s="33"/>
      <c r="F247" s="33"/>
    </row>
    <row r="248" spans="1:6" ht="19" x14ac:dyDescent="0.25">
      <c r="A248" s="5" t="s">
        <v>384</v>
      </c>
    </row>
    <row r="249" spans="1:6" x14ac:dyDescent="0.2">
      <c r="A249" s="11" t="s">
        <v>211</v>
      </c>
      <c r="B249" s="12" t="s">
        <v>210</v>
      </c>
      <c r="C249" s="12"/>
      <c r="D249" s="12"/>
      <c r="E249" s="12"/>
      <c r="F249" s="12">
        <v>5</v>
      </c>
    </row>
    <row r="250" spans="1:6" x14ac:dyDescent="0.2">
      <c r="A250" s="11" t="s">
        <v>330</v>
      </c>
      <c r="B250" s="12" t="s">
        <v>65</v>
      </c>
      <c r="C250" s="12"/>
      <c r="D250" s="12"/>
      <c r="E250" s="12"/>
      <c r="F250" s="12">
        <v>10</v>
      </c>
    </row>
    <row r="251" spans="1:6" x14ac:dyDescent="0.2">
      <c r="A251" s="11"/>
      <c r="B251" s="12" t="s">
        <v>50</v>
      </c>
      <c r="C251" s="12"/>
      <c r="D251" s="12"/>
      <c r="E251" s="12"/>
      <c r="F251" s="12">
        <v>10</v>
      </c>
    </row>
    <row r="252" spans="1:6" x14ac:dyDescent="0.2">
      <c r="A252" s="11"/>
      <c r="B252" s="12" t="s">
        <v>212</v>
      </c>
      <c r="C252" s="12"/>
      <c r="D252" s="12"/>
      <c r="E252" s="12"/>
      <c r="F252" s="12">
        <v>5</v>
      </c>
    </row>
    <row r="253" spans="1:6" x14ac:dyDescent="0.2">
      <c r="A253" s="11"/>
      <c r="B253" s="12" t="s">
        <v>51</v>
      </c>
      <c r="C253" s="12"/>
      <c r="D253" s="12"/>
      <c r="E253" s="12"/>
      <c r="F253" s="12">
        <v>5</v>
      </c>
    </row>
    <row r="254" spans="1:6" x14ac:dyDescent="0.2">
      <c r="A254" s="11"/>
      <c r="B254" s="12" t="s">
        <v>239</v>
      </c>
      <c r="C254" s="12"/>
      <c r="D254" s="12"/>
      <c r="E254" s="12"/>
      <c r="F254" s="12">
        <v>5</v>
      </c>
    </row>
    <row r="255" spans="1:6" x14ac:dyDescent="0.2">
      <c r="A255" s="11"/>
      <c r="B255" s="12"/>
      <c r="C255" s="12"/>
      <c r="D255" s="22" t="s">
        <v>394</v>
      </c>
      <c r="E255" s="36">
        <v>1</v>
      </c>
      <c r="F255" s="12"/>
    </row>
    <row r="256" spans="1:6" x14ac:dyDescent="0.2">
      <c r="A256" s="1"/>
      <c r="E256">
        <f>SUM(E249:E254)*E255</f>
        <v>0</v>
      </c>
      <c r="F256">
        <f>SUM(F249:F254)</f>
        <v>40</v>
      </c>
    </row>
    <row r="257" spans="1:7" x14ac:dyDescent="0.2">
      <c r="A257" s="11" t="s">
        <v>391</v>
      </c>
      <c r="B257" s="12"/>
      <c r="C257" s="12" t="s">
        <v>210</v>
      </c>
      <c r="D257" s="12"/>
      <c r="E257" s="12"/>
      <c r="F257" s="12">
        <v>5</v>
      </c>
      <c r="G257" s="41" t="s">
        <v>114</v>
      </c>
    </row>
    <row r="258" spans="1:7" x14ac:dyDescent="0.2">
      <c r="A258" s="11" t="s">
        <v>332</v>
      </c>
      <c r="B258" s="12"/>
      <c r="C258" s="12" t="s">
        <v>65</v>
      </c>
      <c r="D258" s="12"/>
      <c r="E258" s="12"/>
      <c r="F258" s="12">
        <v>10</v>
      </c>
      <c r="G258" s="41"/>
    </row>
    <row r="259" spans="1:7" x14ac:dyDescent="0.2">
      <c r="A259" s="11" t="s">
        <v>331</v>
      </c>
      <c r="B259" s="12"/>
      <c r="C259" s="12" t="s">
        <v>50</v>
      </c>
      <c r="D259" s="12"/>
      <c r="E259" s="12"/>
      <c r="F259" s="12">
        <v>10</v>
      </c>
      <c r="G259" s="41"/>
    </row>
    <row r="260" spans="1:7" x14ac:dyDescent="0.2">
      <c r="A260" s="11"/>
      <c r="B260" s="12"/>
      <c r="C260" s="12" t="s">
        <v>212</v>
      </c>
      <c r="D260" s="12"/>
      <c r="E260" s="12"/>
      <c r="F260" s="12">
        <v>5</v>
      </c>
      <c r="G260" s="41"/>
    </row>
    <row r="261" spans="1:7" x14ac:dyDescent="0.2">
      <c r="A261" s="11"/>
      <c r="B261" s="12"/>
      <c r="C261" s="12" t="s">
        <v>334</v>
      </c>
      <c r="D261" s="12"/>
      <c r="E261" s="12"/>
      <c r="F261" s="12">
        <v>5</v>
      </c>
      <c r="G261" s="41"/>
    </row>
    <row r="262" spans="1:7" x14ac:dyDescent="0.2">
      <c r="A262" s="11"/>
      <c r="B262" s="12"/>
      <c r="C262" s="12" t="s">
        <v>333</v>
      </c>
      <c r="D262" s="12"/>
      <c r="E262" s="12"/>
      <c r="F262" s="12">
        <v>5</v>
      </c>
      <c r="G262" s="41"/>
    </row>
    <row r="263" spans="1:7" x14ac:dyDescent="0.2">
      <c r="A263" s="11"/>
      <c r="B263" s="12"/>
      <c r="C263" s="12"/>
      <c r="D263" s="22" t="s">
        <v>394</v>
      </c>
      <c r="E263" s="36">
        <v>1</v>
      </c>
      <c r="F263" s="12"/>
      <c r="G263" s="41"/>
    </row>
    <row r="264" spans="1:7" x14ac:dyDescent="0.2">
      <c r="A264" s="1"/>
      <c r="E264">
        <f>SUM(E257:E262)*E263</f>
        <v>0</v>
      </c>
      <c r="F264">
        <f>SUM(F257:F262)</f>
        <v>40</v>
      </c>
    </row>
    <row r="265" spans="1:7" ht="19" x14ac:dyDescent="0.25">
      <c r="A265" s="5" t="s">
        <v>283</v>
      </c>
    </row>
    <row r="266" spans="1:7" x14ac:dyDescent="0.2">
      <c r="A266" s="7" t="s">
        <v>29</v>
      </c>
      <c r="B266" s="8"/>
      <c r="C266" s="8" t="s">
        <v>30</v>
      </c>
      <c r="D266" s="8"/>
      <c r="E266" s="8"/>
      <c r="F266" s="8"/>
    </row>
    <row r="267" spans="1:7" x14ac:dyDescent="0.2">
      <c r="A267" s="8"/>
      <c r="B267" s="8"/>
      <c r="C267" s="8" t="s">
        <v>33</v>
      </c>
      <c r="D267" s="8"/>
      <c r="E267" s="8"/>
      <c r="F267" s="8">
        <v>5</v>
      </c>
    </row>
    <row r="268" spans="1:7" x14ac:dyDescent="0.2">
      <c r="A268" s="8"/>
      <c r="B268" s="8"/>
      <c r="C268" s="8" t="s">
        <v>31</v>
      </c>
      <c r="D268" s="8"/>
      <c r="E268" s="8"/>
      <c r="F268" s="8"/>
    </row>
    <row r="269" spans="1:7" x14ac:dyDescent="0.2">
      <c r="A269" s="8"/>
      <c r="B269" s="8"/>
      <c r="C269" s="8" t="s">
        <v>32</v>
      </c>
      <c r="D269" s="8"/>
      <c r="E269" s="8"/>
      <c r="F269" s="8"/>
    </row>
    <row r="270" spans="1:7" x14ac:dyDescent="0.2">
      <c r="A270" s="8"/>
      <c r="B270" s="8"/>
      <c r="C270" s="8" t="s">
        <v>224</v>
      </c>
      <c r="D270" s="8"/>
      <c r="E270" s="8"/>
      <c r="F270" s="8">
        <v>2</v>
      </c>
    </row>
    <row r="272" spans="1:7" ht="19" x14ac:dyDescent="0.25">
      <c r="A272" s="5" t="s">
        <v>286</v>
      </c>
    </row>
    <row r="273" spans="1:6" x14ac:dyDescent="0.2">
      <c r="A273" s="12" t="s">
        <v>75</v>
      </c>
      <c r="B273" s="12" t="s">
        <v>290</v>
      </c>
      <c r="C273" s="12" t="s">
        <v>73</v>
      </c>
      <c r="D273" s="12" t="s">
        <v>39</v>
      </c>
      <c r="E273" s="12"/>
      <c r="F273" s="12">
        <v>5</v>
      </c>
    </row>
    <row r="274" spans="1:6" x14ac:dyDescent="0.2">
      <c r="A274" s="12"/>
      <c r="B274" s="12"/>
      <c r="C274" s="12"/>
      <c r="D274" s="12" t="s">
        <v>106</v>
      </c>
      <c r="E274" s="12"/>
      <c r="F274" s="12">
        <v>5</v>
      </c>
    </row>
    <row r="275" spans="1:6" x14ac:dyDescent="0.2">
      <c r="A275" s="12"/>
      <c r="B275" s="12"/>
      <c r="C275" s="12"/>
      <c r="D275" s="12" t="s">
        <v>291</v>
      </c>
      <c r="E275" s="12"/>
      <c r="F275" s="12">
        <v>5</v>
      </c>
    </row>
    <row r="276" spans="1:6" x14ac:dyDescent="0.2">
      <c r="A276" s="12"/>
      <c r="B276" s="12"/>
      <c r="C276" s="12"/>
      <c r="D276" s="12" t="s">
        <v>107</v>
      </c>
      <c r="E276" s="12"/>
      <c r="F276" s="12">
        <v>5</v>
      </c>
    </row>
    <row r="277" spans="1:6" x14ac:dyDescent="0.2">
      <c r="A277" s="12"/>
      <c r="B277" s="12"/>
      <c r="C277" s="12"/>
      <c r="D277" s="12" t="s">
        <v>293</v>
      </c>
      <c r="E277" s="12"/>
      <c r="F277" s="12">
        <v>5</v>
      </c>
    </row>
    <row r="278" spans="1:6" x14ac:dyDescent="0.2">
      <c r="A278" s="12"/>
      <c r="B278" s="12"/>
      <c r="C278" s="12"/>
      <c r="D278" s="12" t="s">
        <v>292</v>
      </c>
      <c r="E278" s="12"/>
      <c r="F278" s="12">
        <v>5</v>
      </c>
    </row>
    <row r="279" spans="1:6" x14ac:dyDescent="0.2">
      <c r="A279" s="12"/>
      <c r="B279" s="12"/>
      <c r="C279" s="12" t="s">
        <v>294</v>
      </c>
      <c r="D279" s="12" t="s">
        <v>295</v>
      </c>
      <c r="E279" s="12"/>
      <c r="F279" s="12">
        <v>5</v>
      </c>
    </row>
    <row r="280" spans="1:6" x14ac:dyDescent="0.2">
      <c r="A280" s="12"/>
      <c r="B280" s="12"/>
      <c r="C280" s="12"/>
      <c r="D280" s="12" t="s">
        <v>296</v>
      </c>
      <c r="E280" s="12"/>
      <c r="F280" s="12">
        <v>5</v>
      </c>
    </row>
    <row r="281" spans="1:6" x14ac:dyDescent="0.2">
      <c r="A281" s="12"/>
      <c r="B281" s="12"/>
      <c r="C281" s="12"/>
      <c r="D281" s="12" t="s">
        <v>20</v>
      </c>
      <c r="E281" s="12"/>
      <c r="F281" s="12">
        <v>5</v>
      </c>
    </row>
    <row r="282" spans="1:6" x14ac:dyDescent="0.2">
      <c r="A282" s="12"/>
      <c r="B282" s="12"/>
      <c r="C282" s="12"/>
      <c r="D282" s="12" t="s">
        <v>19</v>
      </c>
      <c r="E282" s="12"/>
      <c r="F282" s="12">
        <v>5</v>
      </c>
    </row>
    <row r="283" spans="1:6" x14ac:dyDescent="0.2">
      <c r="A283" s="12"/>
      <c r="B283" s="12"/>
      <c r="C283" s="12"/>
      <c r="D283" s="12" t="s">
        <v>297</v>
      </c>
      <c r="E283" s="12"/>
      <c r="F283" s="12">
        <v>5</v>
      </c>
    </row>
    <row r="284" spans="1:6" x14ac:dyDescent="0.2">
      <c r="A284" s="12"/>
      <c r="B284" s="12"/>
      <c r="C284" s="12"/>
      <c r="D284" s="22" t="s">
        <v>394</v>
      </c>
      <c r="E284" s="36">
        <v>1</v>
      </c>
      <c r="F284" s="12"/>
    </row>
    <row r="285" spans="1:6" x14ac:dyDescent="0.2">
      <c r="E285">
        <f>SUM(E273:E283)*E284</f>
        <v>0</v>
      </c>
      <c r="F285">
        <f>SUM(F273:F283)</f>
        <v>55</v>
      </c>
    </row>
    <row r="286" spans="1:6" x14ac:dyDescent="0.2">
      <c r="A286" s="7" t="s">
        <v>298</v>
      </c>
      <c r="B286" s="8" t="s">
        <v>74</v>
      </c>
      <c r="C286" s="8"/>
      <c r="D286" s="8"/>
      <c r="E286" s="8"/>
      <c r="F286" s="8">
        <v>5</v>
      </c>
    </row>
    <row r="287" spans="1:6" x14ac:dyDescent="0.2">
      <c r="A287" s="8"/>
      <c r="B287" s="8" t="s">
        <v>21</v>
      </c>
      <c r="C287" s="8" t="s">
        <v>299</v>
      </c>
      <c r="D287" s="8"/>
      <c r="E287" s="8"/>
      <c r="F287" s="8">
        <v>5</v>
      </c>
    </row>
    <row r="288" spans="1:6" x14ac:dyDescent="0.2">
      <c r="A288" s="8"/>
      <c r="B288" s="8"/>
      <c r="C288" s="8" t="s">
        <v>23</v>
      </c>
      <c r="D288" s="8"/>
      <c r="E288" s="8"/>
      <c r="F288" s="8">
        <v>5</v>
      </c>
    </row>
    <row r="289" spans="1:6" x14ac:dyDescent="0.2">
      <c r="A289" s="8"/>
      <c r="B289" s="8"/>
      <c r="C289" s="8" t="s">
        <v>300</v>
      </c>
      <c r="D289" s="8"/>
      <c r="E289" s="8"/>
      <c r="F289" s="8">
        <v>5</v>
      </c>
    </row>
    <row r="290" spans="1:6" x14ac:dyDescent="0.2">
      <c r="A290" s="8"/>
      <c r="B290" s="8"/>
      <c r="C290" s="8" t="s">
        <v>301</v>
      </c>
      <c r="D290" s="8"/>
      <c r="E290" s="8"/>
      <c r="F290" s="8">
        <v>5</v>
      </c>
    </row>
    <row r="291" spans="1:6" x14ac:dyDescent="0.2">
      <c r="A291" s="8"/>
      <c r="B291" s="8"/>
      <c r="C291" s="8" t="s">
        <v>302</v>
      </c>
      <c r="D291" s="8"/>
      <c r="E291" s="8"/>
      <c r="F291" s="8">
        <v>5</v>
      </c>
    </row>
    <row r="292" spans="1:6" x14ac:dyDescent="0.2">
      <c r="A292" s="8"/>
      <c r="B292" s="8"/>
      <c r="C292" s="8" t="s">
        <v>303</v>
      </c>
      <c r="D292" s="8"/>
      <c r="E292" s="8"/>
      <c r="F292" s="8">
        <v>5</v>
      </c>
    </row>
    <row r="293" spans="1:6" x14ac:dyDescent="0.2">
      <c r="A293" s="8"/>
      <c r="B293" s="8"/>
      <c r="C293" s="8"/>
      <c r="D293" s="22" t="s">
        <v>394</v>
      </c>
      <c r="E293" s="36">
        <v>1</v>
      </c>
      <c r="F293" s="8"/>
    </row>
    <row r="294" spans="1:6" x14ac:dyDescent="0.2">
      <c r="E294">
        <f>SUM(E286:E292)*E293</f>
        <v>0</v>
      </c>
      <c r="F294">
        <f>SUM(F286:F292)</f>
        <v>35</v>
      </c>
    </row>
    <row r="296" spans="1:6" x14ac:dyDescent="0.2">
      <c r="A296" s="7" t="s">
        <v>304</v>
      </c>
      <c r="B296" s="8" t="s">
        <v>305</v>
      </c>
      <c r="C296" s="8"/>
      <c r="D296" s="8"/>
      <c r="E296" s="8"/>
      <c r="F296" s="8">
        <v>5</v>
      </c>
    </row>
    <row r="297" spans="1:6" x14ac:dyDescent="0.2">
      <c r="A297" s="7" t="s">
        <v>306</v>
      </c>
      <c r="B297" s="8" t="s">
        <v>307</v>
      </c>
      <c r="C297" s="8"/>
      <c r="D297" s="8"/>
      <c r="E297" s="8"/>
      <c r="F297" s="8">
        <v>5</v>
      </c>
    </row>
    <row r="298" spans="1:6" x14ac:dyDescent="0.2">
      <c r="A298" s="8"/>
      <c r="B298" s="8" t="s">
        <v>308</v>
      </c>
      <c r="C298" s="8"/>
      <c r="D298" s="8"/>
      <c r="E298" s="8"/>
      <c r="F298" s="8">
        <v>5</v>
      </c>
    </row>
    <row r="299" spans="1:6" x14ac:dyDescent="0.2">
      <c r="A299" s="8"/>
      <c r="B299" s="8" t="s">
        <v>309</v>
      </c>
      <c r="C299" s="8"/>
      <c r="D299" s="8"/>
      <c r="E299" s="8"/>
      <c r="F299" s="8">
        <v>5</v>
      </c>
    </row>
    <row r="300" spans="1:6" x14ac:dyDescent="0.2">
      <c r="A300" s="8"/>
      <c r="B300" s="8"/>
      <c r="C300" s="8"/>
      <c r="D300" s="22" t="s">
        <v>394</v>
      </c>
      <c r="E300" s="36">
        <v>1</v>
      </c>
      <c r="F300" s="8"/>
    </row>
    <row r="301" spans="1:6" x14ac:dyDescent="0.2">
      <c r="E301">
        <f>SUM(E296:E299)*E300</f>
        <v>0</v>
      </c>
      <c r="F301">
        <f>SUM(F296:F299)</f>
        <v>20</v>
      </c>
    </row>
    <row r="303" spans="1:6" x14ac:dyDescent="0.2">
      <c r="A303" s="16" t="s">
        <v>310</v>
      </c>
      <c r="B303" s="14" t="s">
        <v>311</v>
      </c>
      <c r="C303" s="14"/>
      <c r="D303" s="14"/>
      <c r="E303" s="14"/>
      <c r="F303" s="14">
        <v>5</v>
      </c>
    </row>
    <row r="304" spans="1:6" x14ac:dyDescent="0.2">
      <c r="A304" s="14"/>
      <c r="B304" s="14" t="s">
        <v>312</v>
      </c>
      <c r="C304" s="14"/>
      <c r="D304" s="14"/>
      <c r="E304" s="14"/>
      <c r="F304" s="14">
        <v>10</v>
      </c>
    </row>
    <row r="305" spans="1:6" x14ac:dyDescent="0.2">
      <c r="A305" s="14"/>
      <c r="B305" s="14" t="s">
        <v>139</v>
      </c>
      <c r="C305" s="14"/>
      <c r="D305" s="14"/>
      <c r="E305" s="14"/>
      <c r="F305" s="14">
        <v>10</v>
      </c>
    </row>
    <row r="306" spans="1:6" x14ac:dyDescent="0.2">
      <c r="A306" s="16" t="s">
        <v>313</v>
      </c>
      <c r="B306" s="14" t="s">
        <v>314</v>
      </c>
      <c r="C306" s="14"/>
      <c r="D306" s="14"/>
      <c r="E306" s="14"/>
      <c r="F306" s="14">
        <v>5</v>
      </c>
    </row>
    <row r="307" spans="1:6" x14ac:dyDescent="0.2">
      <c r="A307" s="14"/>
      <c r="B307" s="14" t="s">
        <v>315</v>
      </c>
      <c r="C307" s="14"/>
      <c r="D307" s="14"/>
      <c r="E307" s="14"/>
      <c r="F307" s="14">
        <v>15</v>
      </c>
    </row>
    <row r="308" spans="1:6" x14ac:dyDescent="0.2">
      <c r="A308" s="16" t="s">
        <v>364</v>
      </c>
      <c r="B308" s="14"/>
      <c r="C308" s="14" t="s">
        <v>229</v>
      </c>
      <c r="D308" s="14" t="s">
        <v>365</v>
      </c>
      <c r="E308" s="14"/>
      <c r="F308" s="14">
        <v>15</v>
      </c>
    </row>
    <row r="309" spans="1:6" x14ac:dyDescent="0.2">
      <c r="A309" s="14"/>
      <c r="B309" s="14"/>
      <c r="C309" s="14" t="s">
        <v>237</v>
      </c>
      <c r="D309" s="14"/>
      <c r="E309" s="14"/>
      <c r="F309" s="14">
        <v>5</v>
      </c>
    </row>
    <row r="310" spans="1:6" x14ac:dyDescent="0.2">
      <c r="A310" s="14"/>
      <c r="B310" s="14"/>
      <c r="C310" s="14" t="s">
        <v>230</v>
      </c>
      <c r="D310" s="14"/>
      <c r="E310" s="14"/>
      <c r="F310" s="14">
        <v>5</v>
      </c>
    </row>
    <row r="311" spans="1:6" x14ac:dyDescent="0.2">
      <c r="A311" s="14"/>
      <c r="B311" s="14"/>
      <c r="C311" s="14"/>
      <c r="D311" s="22" t="s">
        <v>394</v>
      </c>
      <c r="E311" s="36">
        <v>1</v>
      </c>
      <c r="F311" s="14"/>
    </row>
    <row r="312" spans="1:6" x14ac:dyDescent="0.2">
      <c r="E312">
        <f>SUM(E303:E310)*E311</f>
        <v>0</v>
      </c>
      <c r="F312">
        <f>SUM(F303:F311)</f>
        <v>70</v>
      </c>
    </row>
    <row r="313" spans="1:6" x14ac:dyDescent="0.2">
      <c r="A313" s="11" t="s">
        <v>35</v>
      </c>
      <c r="B313" s="12" t="s">
        <v>316</v>
      </c>
      <c r="C313" s="12"/>
      <c r="D313" s="12"/>
      <c r="E313" s="12"/>
      <c r="F313" s="12">
        <v>5</v>
      </c>
    </row>
    <row r="314" spans="1:6" x14ac:dyDescent="0.2">
      <c r="A314" s="12"/>
      <c r="B314" s="12" t="s">
        <v>256</v>
      </c>
      <c r="C314" s="12"/>
      <c r="D314" s="12"/>
      <c r="E314" s="12"/>
      <c r="F314" s="12">
        <v>10</v>
      </c>
    </row>
    <row r="315" spans="1:6" x14ac:dyDescent="0.2">
      <c r="A315" s="11"/>
      <c r="B315" s="12" t="s">
        <v>325</v>
      </c>
      <c r="C315" s="12"/>
      <c r="D315" s="12"/>
      <c r="E315" s="12" t="s">
        <v>324</v>
      </c>
      <c r="F315" s="12">
        <v>10</v>
      </c>
    </row>
    <row r="316" spans="1:6" x14ac:dyDescent="0.2">
      <c r="A316" s="12"/>
      <c r="B316" s="12" t="s">
        <v>317</v>
      </c>
      <c r="C316" s="12"/>
      <c r="D316" s="12"/>
      <c r="E316" s="12" t="s">
        <v>324</v>
      </c>
      <c r="F316" s="12">
        <v>10</v>
      </c>
    </row>
    <row r="317" spans="1:6" x14ac:dyDescent="0.2">
      <c r="A317" s="11"/>
      <c r="B317" s="12" t="s">
        <v>235</v>
      </c>
      <c r="C317" s="12"/>
      <c r="D317" s="12"/>
      <c r="E317" s="12" t="s">
        <v>324</v>
      </c>
      <c r="F317" s="12">
        <v>10</v>
      </c>
    </row>
    <row r="318" spans="1:6" x14ac:dyDescent="0.2">
      <c r="A318" s="11"/>
      <c r="B318" s="12" t="s">
        <v>326</v>
      </c>
      <c r="C318" s="12"/>
      <c r="D318" s="12"/>
      <c r="E318" s="12" t="s">
        <v>324</v>
      </c>
      <c r="F318" s="12">
        <v>5</v>
      </c>
    </row>
    <row r="319" spans="1:6" x14ac:dyDescent="0.2">
      <c r="A319" s="11"/>
      <c r="B319" s="12" t="s">
        <v>327</v>
      </c>
      <c r="C319" s="12"/>
      <c r="D319" s="12"/>
      <c r="E319" s="12"/>
      <c r="F319" s="12">
        <v>5</v>
      </c>
    </row>
    <row r="320" spans="1:6" x14ac:dyDescent="0.2">
      <c r="A320" s="12"/>
      <c r="B320" s="12" t="s">
        <v>318</v>
      </c>
      <c r="C320" s="12"/>
      <c r="D320" s="12"/>
      <c r="E320" s="12"/>
      <c r="F320" s="12">
        <v>5</v>
      </c>
    </row>
    <row r="321" spans="1:6" x14ac:dyDescent="0.2">
      <c r="A321" s="12"/>
      <c r="B321" s="12" t="s">
        <v>319</v>
      </c>
      <c r="C321" s="12"/>
      <c r="D321" s="12"/>
      <c r="E321" s="12"/>
      <c r="F321" s="12">
        <v>5</v>
      </c>
    </row>
    <row r="322" spans="1:6" x14ac:dyDescent="0.2">
      <c r="A322" s="12"/>
      <c r="B322" s="12" t="s">
        <v>40</v>
      </c>
      <c r="C322" s="12"/>
      <c r="D322" s="12"/>
      <c r="E322" s="12"/>
      <c r="F322" s="12">
        <v>10</v>
      </c>
    </row>
    <row r="323" spans="1:6" x14ac:dyDescent="0.2">
      <c r="A323" s="12"/>
      <c r="B323" s="12"/>
      <c r="C323" s="12"/>
      <c r="D323" s="22" t="s">
        <v>394</v>
      </c>
      <c r="E323" s="36">
        <v>1</v>
      </c>
      <c r="F323" s="12"/>
    </row>
    <row r="324" spans="1:6" x14ac:dyDescent="0.2">
      <c r="E324">
        <f>SUM(E313:E322)*E323</f>
        <v>0</v>
      </c>
      <c r="F324">
        <f>SUM(F313:F322)</f>
        <v>75</v>
      </c>
    </row>
    <row r="326" spans="1:6" x14ac:dyDescent="0.2">
      <c r="A326" s="7" t="s">
        <v>352</v>
      </c>
      <c r="B326" s="8" t="s">
        <v>195</v>
      </c>
      <c r="C326" s="8"/>
      <c r="D326" s="8"/>
      <c r="E326" s="8"/>
      <c r="F326" s="8">
        <v>25</v>
      </c>
    </row>
    <row r="327" spans="1:6" x14ac:dyDescent="0.2">
      <c r="A327" s="7"/>
      <c r="B327" s="8" t="s">
        <v>196</v>
      </c>
      <c r="C327" s="8"/>
      <c r="D327" s="8"/>
      <c r="E327" s="8"/>
      <c r="F327" s="8">
        <v>25</v>
      </c>
    </row>
    <row r="328" spans="1:6" x14ac:dyDescent="0.2">
      <c r="A328" s="7"/>
      <c r="B328" s="8" t="s">
        <v>197</v>
      </c>
      <c r="C328" s="8" t="s">
        <v>198</v>
      </c>
      <c r="D328" s="8"/>
      <c r="E328" s="8"/>
      <c r="F328" s="8">
        <v>10</v>
      </c>
    </row>
    <row r="329" spans="1:6" x14ac:dyDescent="0.2">
      <c r="A329" s="7"/>
      <c r="B329" s="8"/>
      <c r="C329" s="8" t="s">
        <v>4</v>
      </c>
      <c r="D329" s="8"/>
      <c r="E329" s="8"/>
      <c r="F329" s="8">
        <v>10</v>
      </c>
    </row>
    <row r="330" spans="1:6" x14ac:dyDescent="0.2">
      <c r="A330" s="7"/>
      <c r="B330" s="8"/>
      <c r="C330" s="8" t="s">
        <v>199</v>
      </c>
      <c r="D330" s="8"/>
      <c r="E330" s="8"/>
      <c r="F330" s="8">
        <v>10</v>
      </c>
    </row>
    <row r="331" spans="1:6" x14ac:dyDescent="0.2">
      <c r="A331" s="7"/>
      <c r="B331" s="8"/>
      <c r="C331" s="8" t="s">
        <v>200</v>
      </c>
      <c r="D331" s="8"/>
      <c r="E331" s="8"/>
      <c r="F331" s="8">
        <v>10</v>
      </c>
    </row>
    <row r="332" spans="1:6" x14ac:dyDescent="0.2">
      <c r="A332" s="7"/>
      <c r="B332" s="8"/>
      <c r="C332" s="8" t="s">
        <v>6</v>
      </c>
      <c r="D332" s="8"/>
      <c r="E332" s="8"/>
      <c r="F332" s="8">
        <v>10</v>
      </c>
    </row>
    <row r="333" spans="1:6" x14ac:dyDescent="0.2">
      <c r="A333" s="7"/>
      <c r="B333" s="8"/>
      <c r="C333" s="8"/>
      <c r="D333" s="22" t="s">
        <v>394</v>
      </c>
      <c r="E333" s="36">
        <v>1</v>
      </c>
      <c r="F333" s="8"/>
    </row>
    <row r="334" spans="1:6" x14ac:dyDescent="0.2">
      <c r="A334" s="1"/>
      <c r="E334">
        <f>SUM(E326:E332)*E333</f>
        <v>0</v>
      </c>
      <c r="F334">
        <f>SUM(F326:F332)</f>
        <v>100</v>
      </c>
    </row>
    <row r="335" spans="1:6" x14ac:dyDescent="0.2">
      <c r="A335" s="7" t="s">
        <v>78</v>
      </c>
      <c r="B335" s="8" t="s">
        <v>13</v>
      </c>
      <c r="C335" s="8"/>
      <c r="D335" s="8"/>
      <c r="E335" s="8"/>
      <c r="F335" s="8">
        <v>10</v>
      </c>
    </row>
    <row r="336" spans="1:6" x14ac:dyDescent="0.2">
      <c r="A336" s="7"/>
      <c r="B336" s="8" t="s">
        <v>46</v>
      </c>
      <c r="C336" s="8"/>
      <c r="D336" s="8"/>
      <c r="E336" s="8"/>
      <c r="F336" s="8">
        <v>5</v>
      </c>
    </row>
    <row r="337" spans="1:6" x14ac:dyDescent="0.2">
      <c r="A337" s="7"/>
      <c r="B337" s="8" t="s">
        <v>363</v>
      </c>
      <c r="C337" s="8"/>
      <c r="D337" s="8"/>
      <c r="E337" s="8"/>
      <c r="F337" s="8">
        <v>15</v>
      </c>
    </row>
    <row r="338" spans="1:6" x14ac:dyDescent="0.2">
      <c r="A338" s="7"/>
      <c r="B338" s="8" t="s">
        <v>174</v>
      </c>
      <c r="C338" s="8"/>
      <c r="D338" s="8"/>
      <c r="E338" s="8"/>
      <c r="F338" s="8">
        <v>5</v>
      </c>
    </row>
    <row r="339" spans="1:6" x14ac:dyDescent="0.2">
      <c r="A339" s="7"/>
      <c r="B339" s="8" t="s">
        <v>77</v>
      </c>
      <c r="C339" s="8"/>
      <c r="D339" s="8"/>
      <c r="E339" s="8"/>
      <c r="F339" s="8">
        <v>5</v>
      </c>
    </row>
    <row r="340" spans="1:6" x14ac:dyDescent="0.2">
      <c r="A340" s="7"/>
      <c r="B340" s="8" t="s">
        <v>79</v>
      </c>
      <c r="C340" s="8"/>
      <c r="D340" s="8"/>
      <c r="E340" s="8"/>
      <c r="F340" s="8">
        <v>25</v>
      </c>
    </row>
    <row r="341" spans="1:6" x14ac:dyDescent="0.2">
      <c r="A341" s="7"/>
      <c r="B341" s="7" t="s">
        <v>57</v>
      </c>
      <c r="C341" s="8" t="s">
        <v>58</v>
      </c>
      <c r="D341" s="8"/>
      <c r="E341" s="8"/>
      <c r="F341" s="8">
        <v>5</v>
      </c>
    </row>
    <row r="342" spans="1:6" x14ac:dyDescent="0.2">
      <c r="A342" s="7"/>
      <c r="B342" s="7"/>
      <c r="C342" s="8" t="s">
        <v>60</v>
      </c>
      <c r="D342" s="8"/>
      <c r="E342" s="8"/>
      <c r="F342" s="8">
        <v>10</v>
      </c>
    </row>
    <row r="343" spans="1:6" x14ac:dyDescent="0.2">
      <c r="A343" s="7"/>
      <c r="B343" s="7"/>
      <c r="C343" s="8" t="s">
        <v>59</v>
      </c>
      <c r="D343" s="8"/>
      <c r="E343" s="8"/>
      <c r="F343" s="8">
        <v>25</v>
      </c>
    </row>
    <row r="344" spans="1:6" x14ac:dyDescent="0.2">
      <c r="A344" s="7"/>
      <c r="B344" s="7"/>
      <c r="C344" s="8" t="s">
        <v>56</v>
      </c>
      <c r="D344" s="8"/>
      <c r="E344" s="8"/>
      <c r="F344" s="8">
        <v>20</v>
      </c>
    </row>
    <row r="345" spans="1:6" x14ac:dyDescent="0.2">
      <c r="A345" s="7"/>
      <c r="B345" s="7"/>
      <c r="C345" s="8" t="s">
        <v>236</v>
      </c>
      <c r="D345" s="8"/>
      <c r="E345" s="8"/>
      <c r="F345" s="8">
        <v>20</v>
      </c>
    </row>
    <row r="346" spans="1:6" x14ac:dyDescent="0.2">
      <c r="A346" s="7"/>
      <c r="B346" s="7"/>
      <c r="C346" s="8" t="s">
        <v>61</v>
      </c>
      <c r="D346" s="8" t="s">
        <v>69</v>
      </c>
      <c r="E346" s="8"/>
      <c r="F346" s="8">
        <v>3</v>
      </c>
    </row>
    <row r="347" spans="1:6" x14ac:dyDescent="0.2">
      <c r="A347" s="7"/>
      <c r="B347" s="7"/>
      <c r="C347" s="8"/>
      <c r="D347" s="8" t="s">
        <v>70</v>
      </c>
      <c r="E347" s="8"/>
      <c r="F347" s="8">
        <v>3</v>
      </c>
    </row>
    <row r="348" spans="1:6" x14ac:dyDescent="0.2">
      <c r="A348" s="7"/>
      <c r="B348" s="7"/>
      <c r="C348" s="8"/>
      <c r="D348" s="8" t="s">
        <v>71</v>
      </c>
      <c r="E348" s="8"/>
      <c r="F348" s="8">
        <v>3</v>
      </c>
    </row>
    <row r="349" spans="1:6" x14ac:dyDescent="0.2">
      <c r="A349" s="7"/>
      <c r="B349" s="7"/>
      <c r="C349" s="8"/>
      <c r="D349" s="8" t="s">
        <v>54</v>
      </c>
      <c r="E349" s="8"/>
      <c r="F349" s="8">
        <v>3</v>
      </c>
    </row>
    <row r="350" spans="1:6" x14ac:dyDescent="0.2">
      <c r="A350" s="7"/>
      <c r="B350" s="7"/>
      <c r="C350" s="8"/>
      <c r="D350" s="8" t="s">
        <v>72</v>
      </c>
      <c r="E350" s="8"/>
      <c r="F350" s="8">
        <v>3</v>
      </c>
    </row>
    <row r="351" spans="1:6" x14ac:dyDescent="0.2">
      <c r="A351" s="7"/>
      <c r="B351" s="7"/>
      <c r="C351" s="8"/>
      <c r="D351" s="22" t="s">
        <v>394</v>
      </c>
      <c r="E351" s="36">
        <v>1</v>
      </c>
      <c r="F351" s="8"/>
    </row>
    <row r="352" spans="1:6" x14ac:dyDescent="0.2">
      <c r="E352">
        <f>SUM(E335:E350)*E351</f>
        <v>0</v>
      </c>
      <c r="F352">
        <f>SUM(F335:F351)</f>
        <v>160</v>
      </c>
    </row>
    <row r="353" spans="1:6" ht="19" x14ac:dyDescent="0.25">
      <c r="A353" s="5" t="s">
        <v>287</v>
      </c>
    </row>
    <row r="354" spans="1:6" x14ac:dyDescent="0.2">
      <c r="A354" s="13" t="s">
        <v>225</v>
      </c>
      <c r="B354" s="13" t="s">
        <v>226</v>
      </c>
      <c r="C354" s="13"/>
      <c r="D354" s="13"/>
      <c r="E354" s="13"/>
      <c r="F354" s="13">
        <v>10</v>
      </c>
    </row>
    <row r="355" spans="1:6" x14ac:dyDescent="0.2">
      <c r="A355" s="13"/>
      <c r="B355" s="13" t="s">
        <v>392</v>
      </c>
      <c r="C355" s="13" t="s">
        <v>65</v>
      </c>
      <c r="D355" s="13"/>
      <c r="E355" s="13"/>
      <c r="F355" s="13">
        <v>30</v>
      </c>
    </row>
    <row r="356" spans="1:6" x14ac:dyDescent="0.2">
      <c r="A356" s="13"/>
      <c r="B356" s="13"/>
      <c r="C356" s="13" t="s">
        <v>227</v>
      </c>
      <c r="D356" s="13"/>
      <c r="E356" s="13"/>
      <c r="F356" s="13">
        <v>30</v>
      </c>
    </row>
    <row r="357" spans="1:6" x14ac:dyDescent="0.2">
      <c r="A357" s="13"/>
      <c r="B357" s="13"/>
      <c r="C357" s="13" t="s">
        <v>228</v>
      </c>
      <c r="D357" s="13"/>
      <c r="E357" s="13"/>
      <c r="F357" s="13">
        <v>30</v>
      </c>
    </row>
    <row r="358" spans="1:6" x14ac:dyDescent="0.2">
      <c r="A358" s="13"/>
      <c r="B358" s="13" t="s">
        <v>393</v>
      </c>
      <c r="C358" s="13" t="s">
        <v>65</v>
      </c>
      <c r="D358" s="13"/>
      <c r="E358" s="13"/>
      <c r="F358" s="13">
        <v>30</v>
      </c>
    </row>
    <row r="359" spans="1:6" x14ac:dyDescent="0.2">
      <c r="A359" s="13"/>
      <c r="B359" s="13"/>
      <c r="C359" s="13" t="s">
        <v>227</v>
      </c>
      <c r="D359" s="13"/>
      <c r="E359" s="13"/>
      <c r="F359" s="13">
        <v>30</v>
      </c>
    </row>
    <row r="360" spans="1:6" x14ac:dyDescent="0.2">
      <c r="A360" s="13"/>
      <c r="B360" s="13"/>
      <c r="C360" s="13" t="s">
        <v>228</v>
      </c>
      <c r="D360" s="13"/>
      <c r="E360" s="13"/>
      <c r="F360" s="13">
        <v>30</v>
      </c>
    </row>
    <row r="361" spans="1:6" x14ac:dyDescent="0.2">
      <c r="A361" s="13"/>
      <c r="B361" s="13"/>
      <c r="C361" s="13"/>
      <c r="D361" s="22" t="s">
        <v>394</v>
      </c>
      <c r="E361" s="36">
        <v>1</v>
      </c>
      <c r="F361" s="13"/>
    </row>
    <row r="362" spans="1:6" x14ac:dyDescent="0.2">
      <c r="E362">
        <f>SUM(E354:E360)*E361</f>
        <v>0</v>
      </c>
      <c r="F362">
        <f>SUM(F354:F360)</f>
        <v>190</v>
      </c>
    </row>
    <row r="363" spans="1:6" s="18" customFormat="1" ht="19" x14ac:dyDescent="0.25">
      <c r="A363" s="5" t="s">
        <v>288</v>
      </c>
    </row>
    <row r="364" spans="1:6" x14ac:dyDescent="0.2">
      <c r="A364" s="15" t="s">
        <v>366</v>
      </c>
      <c r="B364" s="13"/>
      <c r="C364" s="13" t="s">
        <v>188</v>
      </c>
      <c r="D364" s="13"/>
      <c r="E364" s="13">
        <v>0</v>
      </c>
      <c r="F364" s="13">
        <v>5</v>
      </c>
    </row>
    <row r="365" spans="1:6" x14ac:dyDescent="0.2">
      <c r="A365" s="13"/>
      <c r="B365" s="13"/>
      <c r="C365" s="13" t="s">
        <v>192</v>
      </c>
      <c r="D365" s="13"/>
      <c r="E365" s="13">
        <v>0</v>
      </c>
      <c r="F365" s="13">
        <v>5</v>
      </c>
    </row>
    <row r="366" spans="1:6" x14ac:dyDescent="0.2">
      <c r="A366" s="13"/>
      <c r="B366" s="13"/>
      <c r="C366" s="13" t="s">
        <v>6</v>
      </c>
      <c r="D366" s="13"/>
      <c r="E366" s="13">
        <v>0</v>
      </c>
      <c r="F366" s="13">
        <v>5</v>
      </c>
    </row>
    <row r="367" spans="1:6" x14ac:dyDescent="0.2">
      <c r="A367" s="13"/>
      <c r="B367" s="13"/>
      <c r="C367" s="13" t="s">
        <v>193</v>
      </c>
      <c r="D367" s="13"/>
      <c r="E367" s="13">
        <v>0</v>
      </c>
      <c r="F367" s="13">
        <v>5</v>
      </c>
    </row>
    <row r="368" spans="1:6" x14ac:dyDescent="0.2">
      <c r="A368" s="13"/>
      <c r="B368" s="13"/>
      <c r="C368" s="13" t="s">
        <v>194</v>
      </c>
      <c r="D368" s="13"/>
      <c r="E368" s="13">
        <v>0</v>
      </c>
      <c r="F368" s="13">
        <v>5</v>
      </c>
    </row>
    <row r="369" spans="1:6" x14ac:dyDescent="0.2">
      <c r="A369" s="13"/>
      <c r="B369" s="13"/>
      <c r="C369" s="13" t="s">
        <v>195</v>
      </c>
      <c r="D369" s="13"/>
      <c r="E369" s="13">
        <v>0</v>
      </c>
      <c r="F369" s="13">
        <v>5</v>
      </c>
    </row>
    <row r="370" spans="1:6" x14ac:dyDescent="0.2">
      <c r="A370" s="13"/>
      <c r="B370" s="13"/>
      <c r="C370" s="13"/>
      <c r="D370" s="22" t="s">
        <v>394</v>
      </c>
      <c r="E370" s="36">
        <v>1</v>
      </c>
      <c r="F370" s="13"/>
    </row>
    <row r="371" spans="1:6" x14ac:dyDescent="0.2">
      <c r="E371">
        <f>SUM(E364:E369)*E370</f>
        <v>0</v>
      </c>
      <c r="F371">
        <f>SUM(F364:F369)</f>
        <v>30</v>
      </c>
    </row>
    <row r="372" spans="1:6" ht="16" x14ac:dyDescent="0.2">
      <c r="A372" s="15" t="s">
        <v>44</v>
      </c>
      <c r="B372" s="17" t="s">
        <v>361</v>
      </c>
      <c r="C372" s="17"/>
      <c r="D372" s="13"/>
      <c r="E372" s="13"/>
      <c r="F372" s="13">
        <v>10</v>
      </c>
    </row>
    <row r="373" spans="1:6" ht="16" x14ac:dyDescent="0.2">
      <c r="A373" s="15"/>
      <c r="B373" s="17" t="s">
        <v>77</v>
      </c>
      <c r="C373" s="17"/>
      <c r="D373" s="13"/>
      <c r="E373" s="13"/>
      <c r="F373" s="13">
        <v>5</v>
      </c>
    </row>
    <row r="374" spans="1:6" ht="16" x14ac:dyDescent="0.2">
      <c r="A374" s="15"/>
      <c r="B374" s="17" t="s">
        <v>129</v>
      </c>
      <c r="C374" s="17"/>
      <c r="D374" s="13"/>
      <c r="E374" s="13"/>
      <c r="F374" s="13">
        <v>5</v>
      </c>
    </row>
    <row r="375" spans="1:6" x14ac:dyDescent="0.2">
      <c r="A375" s="15"/>
      <c r="B375" s="13"/>
      <c r="C375" s="13"/>
      <c r="D375" s="13"/>
      <c r="E375" s="13"/>
      <c r="F375" s="13"/>
    </row>
    <row r="376" spans="1:6" x14ac:dyDescent="0.2">
      <c r="A376" s="15" t="s">
        <v>127</v>
      </c>
      <c r="B376" s="13" t="s">
        <v>77</v>
      </c>
      <c r="C376" s="13"/>
      <c r="D376" s="13"/>
      <c r="E376" s="13"/>
      <c r="F376" s="13">
        <v>5</v>
      </c>
    </row>
    <row r="377" spans="1:6" x14ac:dyDescent="0.2">
      <c r="A377" s="15"/>
      <c r="B377" s="13" t="s">
        <v>128</v>
      </c>
      <c r="C377" s="13"/>
      <c r="D377" s="13"/>
      <c r="E377" s="13"/>
      <c r="F377" s="13">
        <v>5</v>
      </c>
    </row>
    <row r="378" spans="1:6" x14ac:dyDescent="0.2">
      <c r="A378" s="15"/>
      <c r="B378" s="13" t="s">
        <v>129</v>
      </c>
      <c r="C378" s="13"/>
      <c r="D378" s="13"/>
      <c r="E378" s="13"/>
      <c r="F378" s="13">
        <v>5</v>
      </c>
    </row>
    <row r="379" spans="1:6" x14ac:dyDescent="0.2">
      <c r="A379" s="15"/>
      <c r="B379" s="13"/>
      <c r="C379" s="13"/>
      <c r="D379" s="13"/>
      <c r="E379" s="13"/>
      <c r="F379" s="13"/>
    </row>
    <row r="380" spans="1:6" x14ac:dyDescent="0.2">
      <c r="A380" s="15" t="s">
        <v>232</v>
      </c>
      <c r="B380" s="13" t="s">
        <v>77</v>
      </c>
      <c r="C380" s="13"/>
      <c r="D380" s="13"/>
      <c r="E380" s="13"/>
      <c r="F380" s="13">
        <v>5</v>
      </c>
    </row>
    <row r="381" spans="1:6" x14ac:dyDescent="0.2">
      <c r="A381" s="15"/>
      <c r="B381" s="13" t="s">
        <v>128</v>
      </c>
      <c r="C381" s="13"/>
      <c r="D381" s="13"/>
      <c r="E381" s="13"/>
      <c r="F381" s="13">
        <v>5</v>
      </c>
    </row>
    <row r="382" spans="1:6" x14ac:dyDescent="0.2">
      <c r="A382" s="15"/>
      <c r="B382" s="13" t="s">
        <v>129</v>
      </c>
      <c r="C382" s="13"/>
      <c r="D382" s="13"/>
      <c r="E382" s="13"/>
      <c r="F382" s="13">
        <v>5</v>
      </c>
    </row>
    <row r="383" spans="1:6" x14ac:dyDescent="0.2">
      <c r="A383" s="15"/>
      <c r="B383" s="13"/>
      <c r="C383" s="13"/>
      <c r="D383" s="22" t="s">
        <v>394</v>
      </c>
      <c r="E383" s="36">
        <v>1</v>
      </c>
      <c r="F383" s="13"/>
    </row>
    <row r="384" spans="1:6" x14ac:dyDescent="0.2">
      <c r="A384" s="1"/>
      <c r="E384">
        <f>SUM(E372:E382)*E383</f>
        <v>0</v>
      </c>
      <c r="F384">
        <f>SUM(F372:F383)</f>
        <v>50</v>
      </c>
    </row>
    <row r="385" spans="1:13" x14ac:dyDescent="0.2">
      <c r="A385" s="16" t="s">
        <v>45</v>
      </c>
      <c r="B385" s="14" t="s">
        <v>231</v>
      </c>
      <c r="C385" s="14"/>
      <c r="D385" s="14"/>
      <c r="E385" s="14"/>
      <c r="F385" s="14">
        <v>5</v>
      </c>
      <c r="M385" s="20"/>
    </row>
    <row r="386" spans="1:13" x14ac:dyDescent="0.2">
      <c r="A386" s="16" t="s">
        <v>362</v>
      </c>
      <c r="B386" s="14" t="s">
        <v>50</v>
      </c>
      <c r="C386" s="14"/>
      <c r="D386" s="14"/>
      <c r="E386" s="14"/>
      <c r="F386" s="14">
        <v>5</v>
      </c>
      <c r="M386" s="20"/>
    </row>
    <row r="387" spans="1:13" x14ac:dyDescent="0.2">
      <c r="A387" s="16"/>
      <c r="B387" s="14"/>
      <c r="C387" s="14"/>
      <c r="D387" s="22" t="s">
        <v>394</v>
      </c>
      <c r="E387" s="36">
        <v>1</v>
      </c>
      <c r="F387" s="14"/>
      <c r="M387" s="20"/>
    </row>
    <row r="388" spans="1:13" x14ac:dyDescent="0.2">
      <c r="A388" s="1"/>
      <c r="E388">
        <f>SUM(E385:E386)*E387</f>
        <v>0</v>
      </c>
      <c r="F388">
        <f>SUM(F385:F386)</f>
        <v>10</v>
      </c>
      <c r="M388" s="20"/>
    </row>
    <row r="391" spans="1:13" ht="19" x14ac:dyDescent="0.25">
      <c r="A391" s="5" t="s">
        <v>289</v>
      </c>
    </row>
    <row r="392" spans="1:13" x14ac:dyDescent="0.2">
      <c r="A392" s="11" t="s">
        <v>109</v>
      </c>
      <c r="B392" s="12" t="s">
        <v>110</v>
      </c>
      <c r="C392" s="12"/>
      <c r="D392" s="12"/>
      <c r="E392" s="12"/>
      <c r="F392" s="12">
        <v>10</v>
      </c>
    </row>
    <row r="393" spans="1:13" x14ac:dyDescent="0.2">
      <c r="A393" s="12"/>
      <c r="B393" s="12" t="s">
        <v>111</v>
      </c>
      <c r="C393" s="12"/>
      <c r="D393" s="12"/>
      <c r="E393" s="12"/>
      <c r="F393" s="12">
        <v>10</v>
      </c>
    </row>
    <row r="394" spans="1:13" x14ac:dyDescent="0.2">
      <c r="A394" s="12"/>
      <c r="B394" s="12" t="s">
        <v>112</v>
      </c>
      <c r="C394" s="12"/>
      <c r="D394" s="12"/>
      <c r="E394" s="12"/>
      <c r="F394" s="12">
        <v>10</v>
      </c>
    </row>
    <row r="395" spans="1:13" x14ac:dyDescent="0.2">
      <c r="A395" s="12"/>
      <c r="B395" s="12" t="s">
        <v>113</v>
      </c>
      <c r="C395" s="12"/>
      <c r="D395" s="12"/>
      <c r="E395" s="12"/>
      <c r="F395" s="12">
        <v>10</v>
      </c>
    </row>
    <row r="396" spans="1:13" x14ac:dyDescent="0.2">
      <c r="A396" s="11" t="s">
        <v>125</v>
      </c>
      <c r="B396" s="12"/>
      <c r="C396" s="12"/>
      <c r="D396" s="12"/>
      <c r="E396" s="12"/>
      <c r="F396" s="12"/>
    </row>
    <row r="397" spans="1:13" x14ac:dyDescent="0.2">
      <c r="A397" s="11"/>
      <c r="B397" s="12" t="s">
        <v>147</v>
      </c>
      <c r="C397" s="12"/>
      <c r="D397" s="12"/>
      <c r="E397" s="12"/>
      <c r="F397" s="12">
        <v>5</v>
      </c>
    </row>
    <row r="398" spans="1:13" x14ac:dyDescent="0.2">
      <c r="A398" s="12"/>
      <c r="B398" s="12" t="s">
        <v>148</v>
      </c>
      <c r="C398" s="12"/>
      <c r="D398" s="12"/>
      <c r="E398" s="12"/>
      <c r="F398" s="12">
        <v>15</v>
      </c>
    </row>
    <row r="399" spans="1:13" x14ac:dyDescent="0.2">
      <c r="A399" s="12"/>
      <c r="B399" s="12" t="s">
        <v>149</v>
      </c>
      <c r="C399" s="12"/>
      <c r="D399" s="12"/>
      <c r="E399" s="12"/>
      <c r="F399" s="12">
        <v>20</v>
      </c>
    </row>
    <row r="400" spans="1:13" x14ac:dyDescent="0.2">
      <c r="A400" s="12"/>
      <c r="B400" s="12" t="s">
        <v>150</v>
      </c>
      <c r="C400" s="12"/>
      <c r="D400" s="12"/>
      <c r="E400" s="12"/>
      <c r="F400" s="12">
        <v>5</v>
      </c>
    </row>
    <row r="401" spans="1:6" x14ac:dyDescent="0.2">
      <c r="A401" s="12"/>
      <c r="B401" s="12"/>
      <c r="C401" s="12"/>
      <c r="D401" s="12"/>
      <c r="E401" s="12"/>
      <c r="F401" s="12"/>
    </row>
    <row r="402" spans="1:6" x14ac:dyDescent="0.2">
      <c r="A402" s="12" t="s">
        <v>151</v>
      </c>
      <c r="B402" s="12" t="s">
        <v>152</v>
      </c>
      <c r="C402" s="12"/>
      <c r="D402" s="12"/>
      <c r="E402" s="12"/>
      <c r="F402" s="12">
        <v>5</v>
      </c>
    </row>
    <row r="403" spans="1:6" x14ac:dyDescent="0.2">
      <c r="A403" s="12"/>
      <c r="B403" s="12" t="s">
        <v>153</v>
      </c>
      <c r="C403" s="12"/>
      <c r="D403" s="12"/>
      <c r="E403" s="12"/>
      <c r="F403" s="12">
        <v>15</v>
      </c>
    </row>
    <row r="404" spans="1:6" x14ac:dyDescent="0.2">
      <c r="A404" s="12"/>
      <c r="B404" s="12" t="s">
        <v>154</v>
      </c>
      <c r="C404" s="12"/>
      <c r="D404" s="12"/>
      <c r="E404" s="12"/>
      <c r="F404" s="12">
        <v>15</v>
      </c>
    </row>
    <row r="405" spans="1:6" x14ac:dyDescent="0.2">
      <c r="A405" s="12"/>
      <c r="B405" s="12"/>
      <c r="C405" s="12"/>
      <c r="D405" s="22" t="s">
        <v>394</v>
      </c>
      <c r="E405" s="36">
        <v>1</v>
      </c>
      <c r="F405" s="12"/>
    </row>
    <row r="406" spans="1:6" x14ac:dyDescent="0.2">
      <c r="E406">
        <f>SUM(E392:E404)*E405</f>
        <v>0</v>
      </c>
      <c r="F406">
        <f>SUM(F392:F404)</f>
        <v>120</v>
      </c>
    </row>
    <row r="407" spans="1:6" ht="19" x14ac:dyDescent="0.25">
      <c r="A407" s="5" t="s">
        <v>285</v>
      </c>
    </row>
    <row r="408" spans="1:6" x14ac:dyDescent="0.2">
      <c r="A408" s="7" t="s">
        <v>40</v>
      </c>
      <c r="B408" s="8" t="s">
        <v>41</v>
      </c>
      <c r="C408" s="8" t="s">
        <v>213</v>
      </c>
      <c r="D408" s="8"/>
      <c r="E408" s="8"/>
      <c r="F408" s="8">
        <v>2</v>
      </c>
    </row>
    <row r="409" spans="1:6" x14ac:dyDescent="0.2">
      <c r="A409" s="7"/>
      <c r="B409" s="8"/>
      <c r="C409" s="8" t="s">
        <v>214</v>
      </c>
      <c r="D409" s="8"/>
      <c r="E409" s="8"/>
      <c r="F409" s="8">
        <v>2</v>
      </c>
    </row>
    <row r="410" spans="1:6" x14ac:dyDescent="0.2">
      <c r="A410" s="7"/>
      <c r="B410" s="8"/>
      <c r="C410" s="8" t="s">
        <v>215</v>
      </c>
      <c r="D410" s="8"/>
      <c r="E410" s="8"/>
      <c r="F410" s="8">
        <v>2</v>
      </c>
    </row>
    <row r="411" spans="1:6" x14ac:dyDescent="0.2">
      <c r="A411" s="7"/>
      <c r="B411" s="8"/>
      <c r="C411" s="8" t="s">
        <v>216</v>
      </c>
      <c r="D411" s="8"/>
      <c r="E411" s="8"/>
      <c r="F411" s="8">
        <v>2</v>
      </c>
    </row>
    <row r="412" spans="1:6" x14ac:dyDescent="0.2">
      <c r="A412" s="7"/>
      <c r="B412" s="8"/>
      <c r="C412" s="8" t="s">
        <v>217</v>
      </c>
      <c r="D412" s="8"/>
      <c r="E412" s="8"/>
      <c r="F412" s="8">
        <v>2</v>
      </c>
    </row>
    <row r="413" spans="1:6" x14ac:dyDescent="0.2">
      <c r="A413" s="8"/>
      <c r="B413" s="8" t="s">
        <v>13</v>
      </c>
      <c r="C413" s="8"/>
      <c r="D413" s="8"/>
      <c r="E413" s="8"/>
      <c r="F413" s="8">
        <v>5</v>
      </c>
    </row>
    <row r="414" spans="1:6" x14ac:dyDescent="0.2">
      <c r="A414" s="8"/>
      <c r="B414" s="8" t="s">
        <v>43</v>
      </c>
      <c r="C414" s="8"/>
      <c r="D414" s="8"/>
      <c r="E414" s="8"/>
      <c r="F414" s="8">
        <v>5</v>
      </c>
    </row>
    <row r="415" spans="1:6" x14ac:dyDescent="0.2">
      <c r="A415" s="8"/>
      <c r="B415" s="8" t="s">
        <v>80</v>
      </c>
      <c r="C415" s="8"/>
      <c r="D415" s="8"/>
      <c r="E415" s="8"/>
      <c r="F415" s="8">
        <v>5</v>
      </c>
    </row>
    <row r="416" spans="1:6" x14ac:dyDescent="0.2">
      <c r="A416" s="8"/>
      <c r="B416" s="8" t="s">
        <v>104</v>
      </c>
      <c r="C416" s="8"/>
      <c r="D416" s="8"/>
      <c r="E416" s="8"/>
      <c r="F416" s="8">
        <v>5</v>
      </c>
    </row>
    <row r="417" spans="1:6" x14ac:dyDescent="0.2">
      <c r="A417" s="8"/>
      <c r="B417" s="8"/>
      <c r="C417" s="8"/>
      <c r="D417" s="22" t="s">
        <v>394</v>
      </c>
      <c r="E417" s="36">
        <v>1</v>
      </c>
      <c r="F417" s="8"/>
    </row>
    <row r="418" spans="1:6" x14ac:dyDescent="0.2">
      <c r="E418">
        <f>SUM(E408:E416)*E417</f>
        <v>0</v>
      </c>
      <c r="F418">
        <f>SUM(F408:F416)</f>
        <v>30</v>
      </c>
    </row>
    <row r="419" spans="1:6" x14ac:dyDescent="0.2">
      <c r="A419" s="14" t="s">
        <v>155</v>
      </c>
      <c r="B419" s="14" t="s">
        <v>156</v>
      </c>
      <c r="C419" s="14"/>
      <c r="D419" s="14"/>
      <c r="E419" s="14"/>
      <c r="F419" s="14">
        <v>3</v>
      </c>
    </row>
    <row r="420" spans="1:6" x14ac:dyDescent="0.2">
      <c r="A420" s="14"/>
      <c r="B420" s="14" t="s">
        <v>157</v>
      </c>
      <c r="C420" s="14"/>
      <c r="D420" s="14"/>
      <c r="E420" s="14"/>
      <c r="F420" s="14">
        <v>4</v>
      </c>
    </row>
    <row r="421" spans="1:6" x14ac:dyDescent="0.2">
      <c r="A421" s="14"/>
      <c r="B421" s="14" t="s">
        <v>158</v>
      </c>
      <c r="C421" s="14"/>
      <c r="D421" s="14"/>
      <c r="E421" s="14"/>
      <c r="F421" s="14">
        <v>4</v>
      </c>
    </row>
    <row r="422" spans="1:6" x14ac:dyDescent="0.2">
      <c r="A422" s="14"/>
      <c r="B422" s="14" t="s">
        <v>159</v>
      </c>
      <c r="C422" s="14"/>
      <c r="D422" s="14"/>
      <c r="E422" s="14"/>
      <c r="F422" s="14">
        <v>4</v>
      </c>
    </row>
    <row r="423" spans="1:6" x14ac:dyDescent="0.2">
      <c r="A423" s="14"/>
      <c r="B423" s="14" t="s">
        <v>160</v>
      </c>
      <c r="C423" s="14"/>
      <c r="D423" s="14"/>
      <c r="E423" s="14"/>
      <c r="F423" s="14">
        <v>4</v>
      </c>
    </row>
    <row r="424" spans="1:6" x14ac:dyDescent="0.2">
      <c r="A424" s="14"/>
      <c r="B424" s="14" t="s">
        <v>263</v>
      </c>
      <c r="C424" s="14"/>
      <c r="D424" s="14"/>
      <c r="E424" s="14"/>
      <c r="F424" s="14">
        <v>4</v>
      </c>
    </row>
    <row r="425" spans="1:6" x14ac:dyDescent="0.2">
      <c r="A425" s="14"/>
      <c r="B425" s="14" t="s">
        <v>161</v>
      </c>
      <c r="C425" s="14"/>
      <c r="D425" s="14"/>
      <c r="E425" s="14"/>
      <c r="F425" s="14">
        <v>4</v>
      </c>
    </row>
    <row r="426" spans="1:6" x14ac:dyDescent="0.2">
      <c r="A426" s="14"/>
      <c r="B426" s="14" t="s">
        <v>264</v>
      </c>
      <c r="C426" s="14"/>
      <c r="D426" s="14"/>
      <c r="E426" s="14"/>
      <c r="F426" s="14">
        <v>4</v>
      </c>
    </row>
    <row r="427" spans="1:6" x14ac:dyDescent="0.2">
      <c r="A427" s="14"/>
      <c r="B427" s="14" t="s">
        <v>162</v>
      </c>
      <c r="C427" s="14"/>
      <c r="D427" s="14"/>
      <c r="E427" s="14"/>
      <c r="F427" s="14">
        <v>4</v>
      </c>
    </row>
    <row r="428" spans="1:6" x14ac:dyDescent="0.2">
      <c r="A428" s="14"/>
      <c r="B428" s="14"/>
      <c r="C428" s="14"/>
      <c r="D428" s="22" t="s">
        <v>394</v>
      </c>
      <c r="E428" s="36">
        <v>1</v>
      </c>
      <c r="F428" s="14"/>
    </row>
    <row r="429" spans="1:6" x14ac:dyDescent="0.2">
      <c r="E429">
        <f>SUM(E419:E427)*E428</f>
        <v>0</v>
      </c>
      <c r="F429">
        <f>SUM(F419:F427)</f>
        <v>35</v>
      </c>
    </row>
    <row r="430" spans="1:6" x14ac:dyDescent="0.2">
      <c r="A430" s="8" t="s">
        <v>163</v>
      </c>
      <c r="B430" s="8" t="s">
        <v>164</v>
      </c>
      <c r="C430" s="8"/>
      <c r="D430" s="8"/>
      <c r="E430" s="8"/>
      <c r="F430" s="8">
        <v>3</v>
      </c>
    </row>
    <row r="431" spans="1:6" x14ac:dyDescent="0.2">
      <c r="A431" s="8"/>
      <c r="B431" s="8" t="s">
        <v>165</v>
      </c>
      <c r="C431" s="8"/>
      <c r="D431" s="8"/>
      <c r="E431" s="8"/>
      <c r="F431" s="8">
        <v>5</v>
      </c>
    </row>
    <row r="432" spans="1:6" x14ac:dyDescent="0.2">
      <c r="A432" s="8"/>
      <c r="B432" s="8" t="s">
        <v>8</v>
      </c>
      <c r="C432" s="8"/>
      <c r="D432" s="8"/>
      <c r="E432" s="8"/>
      <c r="F432" s="8">
        <v>3</v>
      </c>
    </row>
    <row r="433" spans="1:6" x14ac:dyDescent="0.2">
      <c r="A433" s="8"/>
      <c r="B433" s="8" t="s">
        <v>166</v>
      </c>
      <c r="C433" s="8"/>
      <c r="D433" s="8"/>
      <c r="E433" s="8"/>
      <c r="F433" s="8">
        <v>3</v>
      </c>
    </row>
    <row r="434" spans="1:6" x14ac:dyDescent="0.2">
      <c r="A434" s="8"/>
      <c r="B434" s="8" t="s">
        <v>167</v>
      </c>
      <c r="C434" s="8"/>
      <c r="D434" s="8"/>
      <c r="E434" s="8"/>
      <c r="F434" s="8">
        <v>3</v>
      </c>
    </row>
    <row r="435" spans="1:6" x14ac:dyDescent="0.2">
      <c r="A435" s="8"/>
      <c r="B435" s="8" t="s">
        <v>168</v>
      </c>
      <c r="C435" s="8"/>
      <c r="D435" s="8"/>
      <c r="E435" s="8"/>
      <c r="F435" s="8">
        <v>3</v>
      </c>
    </row>
    <row r="436" spans="1:6" x14ac:dyDescent="0.2">
      <c r="A436" s="8"/>
      <c r="B436" s="8" t="s">
        <v>169</v>
      </c>
      <c r="C436" s="8"/>
      <c r="D436" s="8"/>
      <c r="E436" s="8"/>
      <c r="F436" s="8">
        <v>3</v>
      </c>
    </row>
    <row r="437" spans="1:6" x14ac:dyDescent="0.2">
      <c r="A437" s="8"/>
      <c r="B437" s="8"/>
      <c r="C437" s="8"/>
      <c r="D437" s="22" t="s">
        <v>394</v>
      </c>
      <c r="E437" s="36">
        <v>1</v>
      </c>
      <c r="F437" s="8"/>
    </row>
    <row r="438" spans="1:6" x14ac:dyDescent="0.2">
      <c r="E438">
        <f>SUM(E430:E436)*E437</f>
        <v>0</v>
      </c>
      <c r="F438">
        <f>SUM(F430:F436)</f>
        <v>23</v>
      </c>
    </row>
    <row r="439" spans="1:6" x14ac:dyDescent="0.2">
      <c r="A439" s="7" t="s">
        <v>367</v>
      </c>
      <c r="B439" s="7"/>
      <c r="C439" s="8" t="s">
        <v>177</v>
      </c>
      <c r="D439" s="8" t="s">
        <v>178</v>
      </c>
      <c r="E439" s="8"/>
      <c r="F439" s="8">
        <v>5</v>
      </c>
    </row>
    <row r="440" spans="1:6" x14ac:dyDescent="0.2">
      <c r="A440" s="7"/>
      <c r="B440" s="7"/>
      <c r="C440" s="8"/>
      <c r="D440" s="8" t="s">
        <v>179</v>
      </c>
      <c r="E440" s="8"/>
      <c r="F440" s="8">
        <v>5</v>
      </c>
    </row>
    <row r="441" spans="1:6" x14ac:dyDescent="0.2">
      <c r="A441" s="7"/>
      <c r="B441" s="7"/>
      <c r="C441" s="8"/>
      <c r="D441" s="8" t="s">
        <v>180</v>
      </c>
      <c r="E441" s="8"/>
      <c r="F441" s="8">
        <v>5</v>
      </c>
    </row>
    <row r="442" spans="1:6" x14ac:dyDescent="0.2">
      <c r="A442" s="7"/>
      <c r="B442" s="7"/>
      <c r="C442" s="8" t="s">
        <v>181</v>
      </c>
      <c r="D442" s="8" t="s">
        <v>182</v>
      </c>
      <c r="E442" s="8"/>
      <c r="F442" s="8">
        <v>5</v>
      </c>
    </row>
    <row r="443" spans="1:6" x14ac:dyDescent="0.2">
      <c r="A443" s="7"/>
      <c r="B443" s="7"/>
      <c r="C443" s="8"/>
      <c r="D443" s="8" t="s">
        <v>183</v>
      </c>
      <c r="E443" s="8"/>
      <c r="F443" s="8">
        <v>5</v>
      </c>
    </row>
    <row r="444" spans="1:6" x14ac:dyDescent="0.2">
      <c r="A444" s="7"/>
      <c r="B444" s="7"/>
      <c r="C444" s="8"/>
      <c r="D444" s="8" t="s">
        <v>184</v>
      </c>
      <c r="E444" s="8"/>
      <c r="F444" s="8">
        <v>5</v>
      </c>
    </row>
    <row r="445" spans="1:6" x14ac:dyDescent="0.2">
      <c r="A445" s="7"/>
      <c r="B445" s="7"/>
      <c r="C445" s="8"/>
      <c r="D445" s="8" t="s">
        <v>185</v>
      </c>
      <c r="E445" s="8"/>
      <c r="F445" s="8">
        <v>5</v>
      </c>
    </row>
    <row r="446" spans="1:6" x14ac:dyDescent="0.2">
      <c r="A446" s="7"/>
      <c r="B446" s="7"/>
      <c r="C446" s="8"/>
      <c r="D446" s="8" t="s">
        <v>186</v>
      </c>
      <c r="E446" s="8"/>
      <c r="F446" s="8">
        <v>5</v>
      </c>
    </row>
    <row r="447" spans="1:6" x14ac:dyDescent="0.2">
      <c r="E447">
        <f>SUM(E439:E446)</f>
        <v>0</v>
      </c>
      <c r="F447">
        <f>SUM(F439:F446)</f>
        <v>40</v>
      </c>
    </row>
    <row r="448" spans="1:6" ht="19" x14ac:dyDescent="0.25">
      <c r="A448" s="5" t="s">
        <v>368</v>
      </c>
    </row>
    <row r="449" spans="1:6" x14ac:dyDescent="0.2">
      <c r="A449" s="7" t="s">
        <v>270</v>
      </c>
      <c r="B449" s="7" t="s">
        <v>285</v>
      </c>
      <c r="C449" s="8" t="s">
        <v>321</v>
      </c>
      <c r="D449" s="8"/>
      <c r="E449" s="8"/>
      <c r="F449" s="8">
        <v>10</v>
      </c>
    </row>
    <row r="450" spans="1:6" x14ac:dyDescent="0.2">
      <c r="A450" s="7"/>
      <c r="B450" s="8"/>
      <c r="C450" s="8" t="s">
        <v>369</v>
      </c>
      <c r="D450" s="8"/>
      <c r="E450" s="8"/>
      <c r="F450" s="8">
        <v>10</v>
      </c>
    </row>
    <row r="451" spans="1:6" x14ac:dyDescent="0.2">
      <c r="A451" s="8"/>
      <c r="B451" s="7" t="s">
        <v>271</v>
      </c>
      <c r="C451" s="8" t="s">
        <v>324</v>
      </c>
      <c r="D451" s="8"/>
      <c r="E451" s="8"/>
      <c r="F451" s="8"/>
    </row>
    <row r="452" spans="1:6" x14ac:dyDescent="0.2">
      <c r="A452" s="8"/>
      <c r="B452" s="8"/>
      <c r="C452" s="8" t="s">
        <v>370</v>
      </c>
      <c r="D452" s="8"/>
      <c r="E452" s="8"/>
      <c r="F452" s="8">
        <v>10</v>
      </c>
    </row>
    <row r="453" spans="1:6" x14ac:dyDescent="0.2">
      <c r="A453" s="8"/>
      <c r="B453" s="8"/>
      <c r="C453" s="8" t="s">
        <v>137</v>
      </c>
      <c r="D453" s="8"/>
      <c r="E453" s="8"/>
      <c r="F453" s="8">
        <v>10</v>
      </c>
    </row>
    <row r="454" spans="1:6" x14ac:dyDescent="0.2">
      <c r="A454" s="8"/>
      <c r="B454" s="8"/>
      <c r="C454" s="8" t="s">
        <v>371</v>
      </c>
      <c r="D454" s="8"/>
      <c r="E454" s="8"/>
      <c r="F454" s="8">
        <v>10</v>
      </c>
    </row>
    <row r="455" spans="1:6" x14ac:dyDescent="0.2">
      <c r="A455" s="8"/>
      <c r="B455" s="8"/>
      <c r="C455" s="8" t="s">
        <v>372</v>
      </c>
      <c r="D455" s="8"/>
      <c r="E455" s="8"/>
      <c r="F455" s="8">
        <v>10</v>
      </c>
    </row>
    <row r="456" spans="1:6" x14ac:dyDescent="0.2">
      <c r="A456" s="8"/>
      <c r="B456" s="8"/>
      <c r="C456" s="8"/>
      <c r="D456" s="22" t="s">
        <v>394</v>
      </c>
      <c r="E456" s="36">
        <v>1</v>
      </c>
    </row>
    <row r="457" spans="1:6" x14ac:dyDescent="0.2">
      <c r="E457">
        <f>SUM(E449:E455)*E456</f>
        <v>0</v>
      </c>
      <c r="F457">
        <f>SUM(F449:F456)</f>
        <v>60</v>
      </c>
    </row>
    <row r="458" spans="1:6" ht="21" x14ac:dyDescent="0.25">
      <c r="A458" s="28" t="s">
        <v>373</v>
      </c>
    </row>
    <row r="459" spans="1:6" x14ac:dyDescent="0.2">
      <c r="A459" s="11" t="s">
        <v>374</v>
      </c>
      <c r="B459" s="12" t="s">
        <v>375</v>
      </c>
      <c r="C459" s="12"/>
      <c r="D459" s="12"/>
      <c r="E459" s="12"/>
      <c r="F459" s="12">
        <v>10</v>
      </c>
    </row>
    <row r="460" spans="1:6" x14ac:dyDescent="0.2">
      <c r="A460" s="11" t="s">
        <v>376</v>
      </c>
      <c r="B460" s="12" t="s">
        <v>377</v>
      </c>
      <c r="C460" s="12" t="s">
        <v>54</v>
      </c>
      <c r="D460" s="12"/>
      <c r="E460" s="12"/>
      <c r="F460" s="12">
        <v>20</v>
      </c>
    </row>
    <row r="461" spans="1:6" x14ac:dyDescent="0.2">
      <c r="A461" s="11"/>
      <c r="B461" s="12"/>
      <c r="C461" s="12" t="s">
        <v>378</v>
      </c>
      <c r="D461" s="12"/>
      <c r="E461" s="12"/>
      <c r="F461" s="12">
        <v>20</v>
      </c>
    </row>
    <row r="462" spans="1:6" x14ac:dyDescent="0.2">
      <c r="A462" s="11"/>
      <c r="B462" s="12"/>
      <c r="C462" s="12"/>
      <c r="D462" s="22" t="s">
        <v>394</v>
      </c>
      <c r="E462" s="36">
        <v>1</v>
      </c>
      <c r="F462" s="12"/>
    </row>
    <row r="463" spans="1:6" x14ac:dyDescent="0.2">
      <c r="A463" s="1"/>
      <c r="E463">
        <f>SUM(E459:E461)*E462</f>
        <v>0</v>
      </c>
      <c r="F463">
        <f>SUM(F459:F461)</f>
        <v>50</v>
      </c>
    </row>
    <row r="464" spans="1:6" x14ac:dyDescent="0.2">
      <c r="A464" s="1"/>
    </row>
    <row r="465" spans="1:6" ht="19" x14ac:dyDescent="0.25">
      <c r="A465" s="5" t="s">
        <v>379</v>
      </c>
    </row>
    <row r="466" spans="1:6" x14ac:dyDescent="0.2">
      <c r="A466" s="15" t="s">
        <v>353</v>
      </c>
      <c r="B466" s="13" t="s">
        <v>270</v>
      </c>
      <c r="C466" s="13" t="s">
        <v>356</v>
      </c>
      <c r="D466" s="13"/>
      <c r="E466" s="13"/>
      <c r="F466" s="13">
        <v>10</v>
      </c>
    </row>
    <row r="467" spans="1:6" x14ac:dyDescent="0.2">
      <c r="A467" s="13" t="s">
        <v>360</v>
      </c>
      <c r="B467" s="13" t="s">
        <v>7</v>
      </c>
      <c r="C467" s="13"/>
      <c r="D467" s="13"/>
      <c r="E467" s="13"/>
      <c r="F467" s="13">
        <v>10</v>
      </c>
    </row>
    <row r="468" spans="1:6" x14ac:dyDescent="0.2">
      <c r="A468" s="13" t="s">
        <v>0</v>
      </c>
      <c r="B468" s="13" t="s">
        <v>354</v>
      </c>
      <c r="C468" s="13"/>
      <c r="D468" s="13"/>
      <c r="E468" s="13"/>
      <c r="F468" s="13">
        <v>20</v>
      </c>
    </row>
    <row r="469" spans="1:6" x14ac:dyDescent="0.2">
      <c r="A469" s="13"/>
      <c r="B469" s="13" t="s">
        <v>355</v>
      </c>
      <c r="C469" s="13"/>
      <c r="D469" s="13"/>
      <c r="E469" s="13"/>
      <c r="F469" s="13">
        <v>10</v>
      </c>
    </row>
    <row r="470" spans="1:6" x14ac:dyDescent="0.2">
      <c r="A470" s="13"/>
      <c r="B470" s="13"/>
      <c r="C470" s="13"/>
      <c r="D470" s="22" t="s">
        <v>394</v>
      </c>
      <c r="E470" s="36">
        <v>1</v>
      </c>
      <c r="F470" s="13"/>
    </row>
    <row r="471" spans="1:6" x14ac:dyDescent="0.2">
      <c r="E471">
        <f>SUM(E466:E469)*E470</f>
        <v>0</v>
      </c>
      <c r="F471">
        <f>SUM(F466:F469)</f>
        <v>50</v>
      </c>
    </row>
    <row r="473" spans="1:6" x14ac:dyDescent="0.2">
      <c r="A473" s="16" t="s">
        <v>353</v>
      </c>
      <c r="B473" s="14" t="s">
        <v>42</v>
      </c>
      <c r="C473" s="14" t="s">
        <v>356</v>
      </c>
      <c r="D473" s="14"/>
      <c r="E473" s="14"/>
      <c r="F473" s="14">
        <v>10</v>
      </c>
    </row>
    <row r="474" spans="1:6" x14ac:dyDescent="0.2">
      <c r="A474" s="14" t="s">
        <v>140</v>
      </c>
      <c r="B474" s="14" t="s">
        <v>357</v>
      </c>
      <c r="C474" s="14"/>
      <c r="D474" s="14"/>
      <c r="E474" s="14"/>
      <c r="F474" s="14">
        <v>20</v>
      </c>
    </row>
    <row r="475" spans="1:6" x14ac:dyDescent="0.2">
      <c r="A475" s="14"/>
      <c r="B475" s="14" t="s">
        <v>233</v>
      </c>
      <c r="C475" s="14"/>
      <c r="D475" s="14"/>
      <c r="E475" s="14"/>
      <c r="F475" s="14">
        <v>20</v>
      </c>
    </row>
    <row r="476" spans="1:6" x14ac:dyDescent="0.2">
      <c r="A476" s="14"/>
      <c r="B476" s="14"/>
      <c r="C476" s="14"/>
      <c r="D476" s="22" t="s">
        <v>394</v>
      </c>
      <c r="E476" s="36">
        <v>1</v>
      </c>
      <c r="F476" s="14"/>
    </row>
    <row r="477" spans="1:6" x14ac:dyDescent="0.2">
      <c r="E477">
        <f>SUM(E473:E475)*E476</f>
        <v>0</v>
      </c>
      <c r="F477">
        <f>SUM(F473:F475)</f>
        <v>50</v>
      </c>
    </row>
    <row r="478" spans="1:6" x14ac:dyDescent="0.2">
      <c r="A478" s="11" t="s">
        <v>353</v>
      </c>
      <c r="B478" s="12" t="s">
        <v>42</v>
      </c>
      <c r="C478" s="12" t="s">
        <v>356</v>
      </c>
      <c r="D478" s="12"/>
      <c r="E478" s="12"/>
      <c r="F478" s="12">
        <v>10</v>
      </c>
    </row>
    <row r="479" spans="1:6" x14ac:dyDescent="0.2">
      <c r="A479" s="12" t="s">
        <v>358</v>
      </c>
      <c r="B479" s="12" t="s">
        <v>357</v>
      </c>
      <c r="C479" s="12"/>
      <c r="D479" s="12"/>
      <c r="E479" s="12"/>
      <c r="F479" s="12">
        <v>20</v>
      </c>
    </row>
    <row r="480" spans="1:6" x14ac:dyDescent="0.2">
      <c r="A480" s="12"/>
      <c r="B480" s="12" t="s">
        <v>359</v>
      </c>
      <c r="C480" s="12"/>
      <c r="D480" s="12"/>
      <c r="E480" s="12"/>
      <c r="F480" s="12">
        <v>40</v>
      </c>
    </row>
    <row r="481" spans="1:6" x14ac:dyDescent="0.2">
      <c r="A481" s="12"/>
      <c r="B481" s="12"/>
      <c r="C481" s="12"/>
      <c r="D481" s="22" t="s">
        <v>394</v>
      </c>
      <c r="E481" s="36">
        <v>1</v>
      </c>
      <c r="F481" s="12"/>
    </row>
    <row r="482" spans="1:6" x14ac:dyDescent="0.2">
      <c r="E482">
        <f>SUM(E478:E480)*E481</f>
        <v>0</v>
      </c>
      <c r="F482">
        <f>SUM(F478:F481)</f>
        <v>70</v>
      </c>
    </row>
    <row r="487" spans="1:6" ht="19" x14ac:dyDescent="0.25">
      <c r="A487" s="5" t="s">
        <v>284</v>
      </c>
    </row>
    <row r="488" spans="1:6" x14ac:dyDescent="0.2">
      <c r="A488" s="14" t="s">
        <v>270</v>
      </c>
      <c r="B488" s="14" t="s">
        <v>271</v>
      </c>
      <c r="C488" s="14"/>
      <c r="D488" s="14"/>
      <c r="E488" s="14"/>
      <c r="F488" s="14">
        <v>10</v>
      </c>
    </row>
    <row r="489" spans="1:6" x14ac:dyDescent="0.2">
      <c r="A489" s="14" t="s">
        <v>275</v>
      </c>
      <c r="B489" s="14" t="s">
        <v>125</v>
      </c>
      <c r="C489" s="14"/>
      <c r="D489" s="14"/>
      <c r="E489" s="14"/>
      <c r="F489" s="14">
        <v>5</v>
      </c>
    </row>
    <row r="490" spans="1:6" x14ac:dyDescent="0.2">
      <c r="A490" s="14"/>
      <c r="B490" s="14" t="s">
        <v>273</v>
      </c>
      <c r="C490" s="14"/>
      <c r="D490" s="14"/>
      <c r="E490" s="14"/>
      <c r="F490" s="14">
        <v>5</v>
      </c>
    </row>
    <row r="491" spans="1:6" x14ac:dyDescent="0.2">
      <c r="A491" s="14"/>
      <c r="B491" s="14" t="s">
        <v>272</v>
      </c>
      <c r="C491" s="14"/>
      <c r="D491" s="14"/>
      <c r="E491" s="14"/>
      <c r="F491" s="14">
        <v>5</v>
      </c>
    </row>
    <row r="492" spans="1:6" x14ac:dyDescent="0.2">
      <c r="A492" s="14"/>
      <c r="B492" s="14" t="s">
        <v>274</v>
      </c>
      <c r="C492" s="14"/>
      <c r="D492" s="14"/>
      <c r="E492" s="14"/>
      <c r="F492" s="14">
        <v>5</v>
      </c>
    </row>
    <row r="493" spans="1:6" x14ac:dyDescent="0.2">
      <c r="A493" s="14"/>
      <c r="B493" s="14" t="s">
        <v>276</v>
      </c>
      <c r="C493" s="14"/>
      <c r="D493" s="14"/>
      <c r="E493" s="14"/>
      <c r="F493" s="14">
        <v>5</v>
      </c>
    </row>
    <row r="494" spans="1:6" x14ac:dyDescent="0.2">
      <c r="A494" s="14"/>
      <c r="B494" s="14" t="s">
        <v>277</v>
      </c>
      <c r="C494" s="14"/>
      <c r="D494" s="14"/>
      <c r="E494" s="14"/>
      <c r="F494" s="14">
        <v>5</v>
      </c>
    </row>
    <row r="495" spans="1:6" x14ac:dyDescent="0.2">
      <c r="A495" s="14"/>
      <c r="B495" s="14" t="s">
        <v>26</v>
      </c>
      <c r="C495" s="14"/>
      <c r="D495" s="14"/>
      <c r="E495" s="14"/>
      <c r="F495" s="14">
        <v>5</v>
      </c>
    </row>
    <row r="496" spans="1:6" x14ac:dyDescent="0.2">
      <c r="A496" s="14"/>
      <c r="B496" s="14" t="s">
        <v>27</v>
      </c>
      <c r="C496" s="14"/>
      <c r="D496" s="14"/>
      <c r="E496" s="14"/>
      <c r="F496" s="14">
        <v>5</v>
      </c>
    </row>
    <row r="497" spans="1:6" x14ac:dyDescent="0.2">
      <c r="A497" s="14"/>
      <c r="B497" s="14" t="s">
        <v>278</v>
      </c>
      <c r="C497" s="14"/>
      <c r="D497" s="14"/>
      <c r="E497" s="14"/>
      <c r="F497" s="14">
        <v>5</v>
      </c>
    </row>
    <row r="498" spans="1:6" x14ac:dyDescent="0.2">
      <c r="A498" s="14"/>
      <c r="B498" s="14" t="s">
        <v>279</v>
      </c>
      <c r="C498" s="14"/>
      <c r="D498" s="14"/>
      <c r="E498" s="14"/>
      <c r="F498" s="14">
        <v>5</v>
      </c>
    </row>
    <row r="499" spans="1:6" x14ac:dyDescent="0.2">
      <c r="A499" s="14"/>
      <c r="B499" s="14"/>
      <c r="C499" s="14"/>
      <c r="D499" s="22" t="s">
        <v>394</v>
      </c>
      <c r="E499" s="36">
        <v>1</v>
      </c>
      <c r="F499" s="14"/>
    </row>
    <row r="500" spans="1:6" x14ac:dyDescent="0.2">
      <c r="E500">
        <f>SUM(E488:E498)*E499</f>
        <v>0</v>
      </c>
      <c r="F500">
        <f>SUM(F488:F499)</f>
        <v>60</v>
      </c>
    </row>
    <row r="502" spans="1:6" x14ac:dyDescent="0.2">
      <c r="A502" s="12" t="s">
        <v>270</v>
      </c>
      <c r="B502" s="12" t="s">
        <v>271</v>
      </c>
      <c r="C502" s="12"/>
      <c r="D502" s="12"/>
      <c r="E502" s="12"/>
      <c r="F502" s="12">
        <v>10</v>
      </c>
    </row>
    <row r="503" spans="1:6" x14ac:dyDescent="0.2">
      <c r="A503" s="12" t="s">
        <v>275</v>
      </c>
      <c r="B503" s="12" t="s">
        <v>125</v>
      </c>
      <c r="C503" s="12"/>
      <c r="D503" s="12"/>
      <c r="E503" s="12"/>
      <c r="F503" s="12">
        <v>5</v>
      </c>
    </row>
    <row r="504" spans="1:6" x14ac:dyDescent="0.2">
      <c r="A504" s="12"/>
      <c r="B504" s="12" t="s">
        <v>273</v>
      </c>
      <c r="C504" s="12"/>
      <c r="D504" s="12"/>
      <c r="E504" s="12"/>
      <c r="F504" s="12">
        <v>5</v>
      </c>
    </row>
    <row r="505" spans="1:6" x14ac:dyDescent="0.2">
      <c r="A505" s="12"/>
      <c r="B505" s="12" t="s">
        <v>272</v>
      </c>
      <c r="C505" s="12"/>
      <c r="D505" s="12"/>
      <c r="E505" s="12"/>
      <c r="F505" s="12">
        <v>5</v>
      </c>
    </row>
    <row r="506" spans="1:6" x14ac:dyDescent="0.2">
      <c r="A506" s="12"/>
      <c r="B506" s="12" t="s">
        <v>274</v>
      </c>
      <c r="C506" s="12"/>
      <c r="D506" s="12"/>
      <c r="E506" s="12"/>
      <c r="F506" s="12">
        <v>5</v>
      </c>
    </row>
    <row r="507" spans="1:6" x14ac:dyDescent="0.2">
      <c r="A507" s="12"/>
      <c r="B507" s="12" t="s">
        <v>276</v>
      </c>
      <c r="C507" s="12"/>
      <c r="D507" s="12"/>
      <c r="E507" s="12"/>
      <c r="F507" s="12">
        <v>5</v>
      </c>
    </row>
    <row r="508" spans="1:6" x14ac:dyDescent="0.2">
      <c r="A508" s="12"/>
      <c r="B508" s="12" t="s">
        <v>277</v>
      </c>
      <c r="C508" s="12"/>
      <c r="D508" s="12"/>
      <c r="E508" s="12"/>
      <c r="F508" s="12">
        <v>5</v>
      </c>
    </row>
    <row r="509" spans="1:6" x14ac:dyDescent="0.2">
      <c r="A509" s="12"/>
      <c r="B509" s="12" t="s">
        <v>26</v>
      </c>
      <c r="C509" s="12"/>
      <c r="D509" s="12"/>
      <c r="E509" s="12"/>
      <c r="F509" s="12">
        <v>5</v>
      </c>
    </row>
    <row r="510" spans="1:6" x14ac:dyDescent="0.2">
      <c r="A510" s="12"/>
      <c r="B510" s="12" t="s">
        <v>27</v>
      </c>
      <c r="C510" s="12"/>
      <c r="D510" s="12"/>
      <c r="E510" s="12"/>
      <c r="F510" s="12">
        <v>5</v>
      </c>
    </row>
    <row r="511" spans="1:6" x14ac:dyDescent="0.2">
      <c r="A511" s="12"/>
      <c r="B511" s="12" t="s">
        <v>278</v>
      </c>
      <c r="C511" s="12"/>
      <c r="D511" s="12"/>
      <c r="E511" s="12"/>
      <c r="F511" s="12">
        <v>5</v>
      </c>
    </row>
    <row r="512" spans="1:6" x14ac:dyDescent="0.2">
      <c r="A512" s="12"/>
      <c r="B512" s="12" t="s">
        <v>279</v>
      </c>
      <c r="C512" s="12"/>
      <c r="D512" s="12"/>
      <c r="E512" s="12"/>
      <c r="F512" s="12">
        <v>5</v>
      </c>
    </row>
    <row r="513" spans="1:6" x14ac:dyDescent="0.2">
      <c r="A513" s="12"/>
      <c r="B513" s="12"/>
      <c r="C513" s="12"/>
      <c r="D513" s="22" t="s">
        <v>394</v>
      </c>
      <c r="E513" s="36">
        <v>1</v>
      </c>
      <c r="F513" s="12"/>
    </row>
    <row r="514" spans="1:6" x14ac:dyDescent="0.2">
      <c r="E514">
        <f>SUM(E502:E512)*E513</f>
        <v>0</v>
      </c>
      <c r="F514">
        <f>SUM(F502:F513)</f>
        <v>60</v>
      </c>
    </row>
    <row r="516" spans="1:6" x14ac:dyDescent="0.2">
      <c r="A516" s="13" t="s">
        <v>270</v>
      </c>
      <c r="B516" s="13" t="s">
        <v>271</v>
      </c>
      <c r="C516" s="13"/>
      <c r="D516" s="13"/>
      <c r="E516" s="13"/>
      <c r="F516" s="13">
        <v>10</v>
      </c>
    </row>
    <row r="517" spans="1:6" x14ac:dyDescent="0.2">
      <c r="A517" s="13" t="s">
        <v>275</v>
      </c>
      <c r="B517" s="13" t="s">
        <v>125</v>
      </c>
      <c r="C517" s="13"/>
      <c r="D517" s="13"/>
      <c r="E517" s="13"/>
      <c r="F517" s="13">
        <v>5</v>
      </c>
    </row>
    <row r="518" spans="1:6" x14ac:dyDescent="0.2">
      <c r="A518" s="13"/>
      <c r="B518" s="13" t="s">
        <v>273</v>
      </c>
      <c r="C518" s="13"/>
      <c r="D518" s="13"/>
      <c r="E518" s="13"/>
      <c r="F518" s="13">
        <v>5</v>
      </c>
    </row>
    <row r="519" spans="1:6" x14ac:dyDescent="0.2">
      <c r="A519" s="13"/>
      <c r="B519" s="13" t="s">
        <v>272</v>
      </c>
      <c r="C519" s="13"/>
      <c r="D519" s="13"/>
      <c r="E519" s="13"/>
      <c r="F519" s="13">
        <v>5</v>
      </c>
    </row>
    <row r="520" spans="1:6" x14ac:dyDescent="0.2">
      <c r="A520" s="13"/>
      <c r="B520" s="13" t="s">
        <v>274</v>
      </c>
      <c r="C520" s="13"/>
      <c r="D520" s="13"/>
      <c r="E520" s="13"/>
      <c r="F520" s="13">
        <v>5</v>
      </c>
    </row>
    <row r="521" spans="1:6" x14ac:dyDescent="0.2">
      <c r="A521" s="13"/>
      <c r="B521" s="13" t="s">
        <v>276</v>
      </c>
      <c r="C521" s="13"/>
      <c r="D521" s="13"/>
      <c r="E521" s="13"/>
      <c r="F521" s="13">
        <v>5</v>
      </c>
    </row>
    <row r="522" spans="1:6" x14ac:dyDescent="0.2">
      <c r="A522" s="13"/>
      <c r="B522" s="13" t="s">
        <v>277</v>
      </c>
      <c r="C522" s="13"/>
      <c r="D522" s="13"/>
      <c r="E522" s="13"/>
      <c r="F522" s="13">
        <v>5</v>
      </c>
    </row>
    <row r="523" spans="1:6" x14ac:dyDescent="0.2">
      <c r="A523" s="13"/>
      <c r="B523" s="13" t="s">
        <v>26</v>
      </c>
      <c r="C523" s="13"/>
      <c r="D523" s="13"/>
      <c r="E523" s="13"/>
      <c r="F523" s="13">
        <v>5</v>
      </c>
    </row>
    <row r="524" spans="1:6" x14ac:dyDescent="0.2">
      <c r="A524" s="13"/>
      <c r="B524" s="13" t="s">
        <v>27</v>
      </c>
      <c r="C524" s="13"/>
      <c r="D524" s="13"/>
      <c r="E524" s="13"/>
      <c r="F524" s="13">
        <v>5</v>
      </c>
    </row>
    <row r="525" spans="1:6" x14ac:dyDescent="0.2">
      <c r="A525" s="13"/>
      <c r="B525" s="13" t="s">
        <v>278</v>
      </c>
      <c r="C525" s="13"/>
      <c r="D525" s="13"/>
      <c r="E525" s="13"/>
      <c r="F525" s="13">
        <v>5</v>
      </c>
    </row>
    <row r="526" spans="1:6" x14ac:dyDescent="0.2">
      <c r="A526" s="13"/>
      <c r="B526" s="13" t="s">
        <v>279</v>
      </c>
      <c r="C526" s="13"/>
      <c r="D526" s="13"/>
      <c r="E526" s="13"/>
      <c r="F526" s="13">
        <v>5</v>
      </c>
    </row>
    <row r="527" spans="1:6" x14ac:dyDescent="0.2">
      <c r="A527" s="13"/>
      <c r="B527" s="13"/>
      <c r="C527" s="13"/>
      <c r="D527" s="22" t="s">
        <v>394</v>
      </c>
      <c r="E527" s="36">
        <v>1</v>
      </c>
      <c r="F527" s="13"/>
    </row>
    <row r="528" spans="1:6" x14ac:dyDescent="0.2">
      <c r="E528">
        <f>SUM(E516:E526)*E527</f>
        <v>0</v>
      </c>
      <c r="F528">
        <f>SUM(F516:F527)</f>
        <v>60</v>
      </c>
    </row>
    <row r="530" spans="1:6" ht="21" x14ac:dyDescent="0.25">
      <c r="A530" s="28" t="s">
        <v>380</v>
      </c>
    </row>
    <row r="531" spans="1:6" x14ac:dyDescent="0.2">
      <c r="A531" s="16" t="s">
        <v>380</v>
      </c>
      <c r="B531" s="14"/>
      <c r="C531" s="14"/>
      <c r="D531" s="14"/>
      <c r="E531" s="14"/>
      <c r="F531" s="14">
        <v>30</v>
      </c>
    </row>
    <row r="532" spans="1:6" x14ac:dyDescent="0.2">
      <c r="A532" s="14"/>
      <c r="B532" s="14"/>
      <c r="C532" s="14"/>
      <c r="D532" s="14"/>
      <c r="E532" s="14"/>
      <c r="F532" s="14">
        <v>30</v>
      </c>
    </row>
    <row r="533" spans="1:6" x14ac:dyDescent="0.2">
      <c r="A533" s="14"/>
      <c r="B533" s="14"/>
      <c r="C533" s="14"/>
      <c r="D533" s="14"/>
      <c r="E533" s="14"/>
      <c r="F533" s="14">
        <v>30</v>
      </c>
    </row>
    <row r="534" spans="1:6" x14ac:dyDescent="0.2">
      <c r="A534" s="14"/>
      <c r="B534" s="14"/>
      <c r="C534" s="14"/>
      <c r="D534" s="14"/>
      <c r="E534" s="14"/>
      <c r="F534" s="14">
        <v>30</v>
      </c>
    </row>
    <row r="535" spans="1:6" x14ac:dyDescent="0.2">
      <c r="A535" s="14"/>
      <c r="B535" s="14"/>
      <c r="C535" s="14"/>
      <c r="D535" s="14"/>
      <c r="E535" s="14"/>
      <c r="F535" s="14">
        <v>30</v>
      </c>
    </row>
    <row r="536" spans="1:6" x14ac:dyDescent="0.2">
      <c r="A536" s="14"/>
      <c r="B536" s="14"/>
      <c r="C536" s="14"/>
      <c r="D536" s="22" t="s">
        <v>394</v>
      </c>
      <c r="E536" s="36">
        <v>1</v>
      </c>
      <c r="F536" s="14"/>
    </row>
    <row r="537" spans="1:6" x14ac:dyDescent="0.2">
      <c r="E537">
        <f>SUM(E531:E535)*E536</f>
        <v>0</v>
      </c>
      <c r="F537">
        <f>SUM(F531:F536)</f>
        <v>150</v>
      </c>
    </row>
    <row r="539" spans="1:6" x14ac:dyDescent="0.2">
      <c r="A539" s="11" t="s">
        <v>380</v>
      </c>
      <c r="B539" s="12"/>
      <c r="C539" s="12"/>
      <c r="D539" s="12"/>
      <c r="E539" s="12"/>
      <c r="F539" s="12">
        <v>30</v>
      </c>
    </row>
    <row r="540" spans="1:6" x14ac:dyDescent="0.2">
      <c r="A540" s="12"/>
      <c r="B540" s="12"/>
      <c r="C540" s="12"/>
      <c r="D540" s="12"/>
      <c r="E540" s="12"/>
      <c r="F540" s="12">
        <v>30</v>
      </c>
    </row>
    <row r="541" spans="1:6" x14ac:dyDescent="0.2">
      <c r="A541" s="12"/>
      <c r="B541" s="12"/>
      <c r="C541" s="12"/>
      <c r="D541" s="12"/>
      <c r="E541" s="12"/>
      <c r="F541" s="12">
        <v>30</v>
      </c>
    </row>
    <row r="542" spans="1:6" x14ac:dyDescent="0.2">
      <c r="A542" s="12"/>
      <c r="B542" s="12"/>
      <c r="C542" s="12"/>
      <c r="D542" s="12"/>
      <c r="E542" s="12"/>
      <c r="F542" s="12">
        <v>30</v>
      </c>
    </row>
    <row r="543" spans="1:6" x14ac:dyDescent="0.2">
      <c r="A543" s="12"/>
      <c r="B543" s="12"/>
      <c r="C543" s="12"/>
      <c r="D543" s="12"/>
      <c r="E543" s="12"/>
      <c r="F543" s="12">
        <v>30</v>
      </c>
    </row>
    <row r="544" spans="1:6" x14ac:dyDescent="0.2">
      <c r="A544" s="12"/>
      <c r="B544" s="12"/>
      <c r="C544" s="12"/>
      <c r="D544" s="22" t="s">
        <v>394</v>
      </c>
      <c r="E544" s="36">
        <v>1</v>
      </c>
      <c r="F544" s="12"/>
    </row>
    <row r="545" spans="1:8" x14ac:dyDescent="0.2">
      <c r="E545">
        <f>SUM(E539:E543)*E544</f>
        <v>0</v>
      </c>
      <c r="F545">
        <f>SUM(F539:F544)</f>
        <v>150</v>
      </c>
    </row>
    <row r="547" spans="1:8" x14ac:dyDescent="0.2">
      <c r="A547" s="15" t="s">
        <v>380</v>
      </c>
      <c r="B547" s="13"/>
      <c r="C547" s="13"/>
      <c r="D547" s="13"/>
      <c r="E547" s="13"/>
      <c r="F547" s="13">
        <v>30</v>
      </c>
    </row>
    <row r="548" spans="1:8" x14ac:dyDescent="0.2">
      <c r="A548" s="13"/>
      <c r="B548" s="13"/>
      <c r="C548" s="13"/>
      <c r="D548" s="13"/>
      <c r="E548" s="13"/>
      <c r="F548" s="13">
        <v>30</v>
      </c>
    </row>
    <row r="549" spans="1:8" x14ac:dyDescent="0.2">
      <c r="A549" s="13"/>
      <c r="B549" s="13"/>
      <c r="C549" s="13"/>
      <c r="D549" s="13"/>
      <c r="E549" s="13"/>
      <c r="F549" s="13">
        <v>30</v>
      </c>
    </row>
    <row r="550" spans="1:8" x14ac:dyDescent="0.2">
      <c r="A550" s="13"/>
      <c r="B550" s="13"/>
      <c r="C550" s="13"/>
      <c r="D550" s="13"/>
      <c r="E550" s="13"/>
      <c r="F550" s="13">
        <v>30</v>
      </c>
    </row>
    <row r="551" spans="1:8" x14ac:dyDescent="0.2">
      <c r="A551" s="13"/>
      <c r="B551" s="13"/>
      <c r="C551" s="13"/>
      <c r="D551" s="13"/>
      <c r="E551" s="13"/>
      <c r="F551" s="13">
        <v>30</v>
      </c>
    </row>
    <row r="552" spans="1:8" x14ac:dyDescent="0.2">
      <c r="A552" s="13"/>
      <c r="B552" s="13"/>
      <c r="C552" s="13"/>
      <c r="D552" s="22" t="s">
        <v>394</v>
      </c>
      <c r="E552" s="36">
        <v>1</v>
      </c>
      <c r="F552" s="13"/>
    </row>
    <row r="553" spans="1:8" x14ac:dyDescent="0.2">
      <c r="E553">
        <f>SUM(E547:E551)*E552</f>
        <v>0</v>
      </c>
      <c r="F553">
        <f>SUM(F547:F552)</f>
        <v>150</v>
      </c>
    </row>
    <row r="556" spans="1:8" x14ac:dyDescent="0.2">
      <c r="A556" s="7"/>
      <c r="B556" t="s">
        <v>218</v>
      </c>
      <c r="E556">
        <f>E438+E418+E334+E14</f>
        <v>0</v>
      </c>
      <c r="F556">
        <f>F86+F267+F270+F294+F301+F334+F352+F418+F438+F447+F457</f>
        <v>525</v>
      </c>
      <c r="H556" s="19">
        <f>E556/F556</f>
        <v>0</v>
      </c>
    </row>
    <row r="557" spans="1:8" x14ac:dyDescent="0.2">
      <c r="A557" s="11" t="s">
        <v>401</v>
      </c>
      <c r="B557" t="s">
        <v>219</v>
      </c>
      <c r="E557">
        <f>E30+E31+E131+E141+E151+E162+E215+E256+E264+E285+E324+E406+E463+E482+E514+E545</f>
        <v>-50</v>
      </c>
      <c r="F557">
        <f>F30+F31+F131+F141+F151+F162+F215+F256+F264+F285+F324+F406+F463+F482+F514+F545</f>
        <v>898</v>
      </c>
      <c r="H557" s="19">
        <f>(E557+E556)/(F557+F556)</f>
        <v>-3.5137034434293744E-2</v>
      </c>
    </row>
    <row r="558" spans="1:8" x14ac:dyDescent="0.2">
      <c r="A558" s="15" t="s">
        <v>400</v>
      </c>
      <c r="B558" t="s">
        <v>220</v>
      </c>
      <c r="E558">
        <f>E28+E33+E52+E97+E108+E225+E246+E312+E362+E371+E384+E471+E528+E553</f>
        <v>-50</v>
      </c>
      <c r="F558">
        <f>F28+F33+F52+F97+F108+F225+F246+F362+F371+F384+F471+F528+F553</f>
        <v>865</v>
      </c>
      <c r="H558" s="19">
        <f>(E558+G556)/(F558+F556)</f>
        <v>-3.5971223021582732E-2</v>
      </c>
    </row>
    <row r="559" spans="1:8" x14ac:dyDescent="0.2">
      <c r="A559" s="16" t="s">
        <v>402</v>
      </c>
      <c r="B559" t="s">
        <v>221</v>
      </c>
      <c r="E559">
        <f>E29+E32+E69+E78+E120+E168+E175+E187+E198+E203+E235+E388+E429+E477+E500+E537</f>
        <v>-50</v>
      </c>
      <c r="F559">
        <f>F29+F32+F69+F78+F120+F168+F175+F187+F198+F203+F235+F312+F388+F429+F477+F500+F537</f>
        <v>874</v>
      </c>
      <c r="H559" s="19">
        <f>(E559+E556)/(F559+F556)</f>
        <v>-3.5739814152966405E-2</v>
      </c>
    </row>
    <row r="563" spans="4:7" x14ac:dyDescent="0.2">
      <c r="F563" t="s">
        <v>265</v>
      </c>
      <c r="G563" t="s">
        <v>266</v>
      </c>
    </row>
    <row r="564" spans="4:7" x14ac:dyDescent="0.2">
      <c r="D564" t="s">
        <v>267</v>
      </c>
      <c r="G564" t="s">
        <v>268</v>
      </c>
    </row>
    <row r="565" spans="4:7" x14ac:dyDescent="0.2">
      <c r="F565">
        <v>45</v>
      </c>
      <c r="G565">
        <v>4</v>
      </c>
    </row>
    <row r="566" spans="4:7" x14ac:dyDescent="0.2">
      <c r="F566">
        <f>F565+(F574-F565)/9</f>
        <v>50</v>
      </c>
      <c r="G566">
        <v>3.7</v>
      </c>
    </row>
    <row r="567" spans="4:7" x14ac:dyDescent="0.2">
      <c r="F567">
        <f>F566+(F574-F565)/9</f>
        <v>55</v>
      </c>
      <c r="G567">
        <v>3.3</v>
      </c>
    </row>
    <row r="568" spans="4:7" x14ac:dyDescent="0.2">
      <c r="F568">
        <f>F567+(F574-F565)/9</f>
        <v>60</v>
      </c>
      <c r="G568">
        <v>3</v>
      </c>
    </row>
    <row r="569" spans="4:7" x14ac:dyDescent="0.2">
      <c r="F569">
        <f>F568+(F574-F565)/9</f>
        <v>65</v>
      </c>
      <c r="G569">
        <v>2.7</v>
      </c>
    </row>
    <row r="570" spans="4:7" x14ac:dyDescent="0.2">
      <c r="F570">
        <f>F569+(F574-F565)/9</f>
        <v>70</v>
      </c>
      <c r="G570">
        <v>2.2999999999999998</v>
      </c>
    </row>
    <row r="571" spans="4:7" x14ac:dyDescent="0.2">
      <c r="F571">
        <f>F570+(F574-F565)/9</f>
        <v>75</v>
      </c>
      <c r="G571">
        <v>2</v>
      </c>
    </row>
    <row r="572" spans="4:7" x14ac:dyDescent="0.2">
      <c r="F572">
        <f>F571+(F574-F565)/9</f>
        <v>80</v>
      </c>
      <c r="G572">
        <v>1.7</v>
      </c>
    </row>
    <row r="573" spans="4:7" x14ac:dyDescent="0.2">
      <c r="F573">
        <f>F572+(F574-F565)/9</f>
        <v>85</v>
      </c>
      <c r="G573">
        <v>1.3</v>
      </c>
    </row>
    <row r="574" spans="4:7" x14ac:dyDescent="0.2">
      <c r="F574">
        <v>90</v>
      </c>
      <c r="G574">
        <v>1</v>
      </c>
    </row>
    <row r="575" spans="4:7" x14ac:dyDescent="0.2">
      <c r="E575" t="s">
        <v>269</v>
      </c>
    </row>
  </sheetData>
  <mergeCells count="7">
    <mergeCell ref="A2:C2"/>
    <mergeCell ref="A6:C6"/>
    <mergeCell ref="G55:G68"/>
    <mergeCell ref="G124:G162"/>
    <mergeCell ref="G257:G263"/>
    <mergeCell ref="G71:G77"/>
    <mergeCell ref="G81:G85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47724"/>
  <sheetViews>
    <sheetView workbookViewId="0">
      <selection sqref="A1:C1"/>
    </sheetView>
  </sheetViews>
  <sheetFormatPr baseColWidth="10" defaultRowHeight="15" x14ac:dyDescent="0.2"/>
  <cols>
    <col min="1" max="1" width="31.1640625" style="1" bestFit="1" customWidth="1"/>
    <col min="2" max="2" width="18.5" bestFit="1" customWidth="1"/>
    <col min="3" max="3" width="17.1640625" bestFit="1" customWidth="1"/>
    <col min="4" max="4" width="16.1640625" bestFit="1" customWidth="1"/>
    <col min="5" max="5" width="14.5" bestFit="1" customWidth="1"/>
    <col min="10" max="10" width="25" customWidth="1"/>
  </cols>
  <sheetData>
    <row r="1" spans="1:4" ht="34" x14ac:dyDescent="0.4">
      <c r="A1" s="37" t="s">
        <v>81</v>
      </c>
      <c r="B1" s="37"/>
      <c r="C1" s="37"/>
    </row>
    <row r="4" spans="1:4" x14ac:dyDescent="0.2">
      <c r="A4" s="1" t="s">
        <v>82</v>
      </c>
    </row>
    <row r="5" spans="1:4" x14ac:dyDescent="0.2">
      <c r="A5" s="38" t="s">
        <v>83</v>
      </c>
      <c r="B5" s="38"/>
      <c r="C5" s="38"/>
    </row>
    <row r="6" spans="1:4" x14ac:dyDescent="0.2">
      <c r="A6" s="1" t="s">
        <v>84</v>
      </c>
    </row>
    <row r="8" spans="1:4" ht="29" x14ac:dyDescent="0.35">
      <c r="A8" s="2" t="s">
        <v>85</v>
      </c>
    </row>
    <row r="9" spans="1:4" x14ac:dyDescent="0.2">
      <c r="A9" s="1" t="s">
        <v>86</v>
      </c>
      <c r="B9" s="1" t="s">
        <v>87</v>
      </c>
      <c r="C9" s="1" t="s">
        <v>88</v>
      </c>
      <c r="D9" s="1" t="s">
        <v>89</v>
      </c>
    </row>
    <row r="10" spans="1:4" x14ac:dyDescent="0.2">
      <c r="A10" s="1" t="s">
        <v>90</v>
      </c>
      <c r="B10" t="s">
        <v>91</v>
      </c>
      <c r="C10" s="3">
        <v>1234567</v>
      </c>
    </row>
    <row r="11" spans="1:4" x14ac:dyDescent="0.2">
      <c r="C11" s="3"/>
    </row>
    <row r="13" spans="1:4" x14ac:dyDescent="0.2">
      <c r="A13" s="1" t="s">
        <v>92</v>
      </c>
    </row>
    <row r="15" spans="1:4" x14ac:dyDescent="0.2">
      <c r="A15" s="1" t="s">
        <v>93</v>
      </c>
      <c r="B15">
        <v>7</v>
      </c>
    </row>
    <row r="17" spans="1:8" x14ac:dyDescent="0.2">
      <c r="A17" s="1" t="s">
        <v>94</v>
      </c>
      <c r="B17" s="4">
        <v>45351</v>
      </c>
    </row>
    <row r="18" spans="1:8" x14ac:dyDescent="0.2">
      <c r="A18" s="1" t="s">
        <v>95</v>
      </c>
      <c r="B18" s="4">
        <v>45594</v>
      </c>
    </row>
    <row r="20" spans="1:8" x14ac:dyDescent="0.2">
      <c r="A20" s="1" t="s">
        <v>96</v>
      </c>
    </row>
    <row r="21" spans="1:8" x14ac:dyDescent="0.2">
      <c r="A21" s="1" t="s">
        <v>97</v>
      </c>
      <c r="B21" t="s">
        <v>98</v>
      </c>
    </row>
    <row r="23" spans="1:8" ht="24" x14ac:dyDescent="0.3">
      <c r="A23" s="6" t="s">
        <v>99</v>
      </c>
      <c r="H23" s="21"/>
    </row>
    <row r="25" spans="1:8" ht="19" x14ac:dyDescent="0.25">
      <c r="A25" s="5" t="s">
        <v>100</v>
      </c>
      <c r="E25" s="5" t="s">
        <v>101</v>
      </c>
      <c r="G25" t="s">
        <v>170</v>
      </c>
    </row>
    <row r="27" spans="1:8" x14ac:dyDescent="0.2">
      <c r="A27" s="15" t="s">
        <v>36</v>
      </c>
      <c r="B27" s="13" t="s">
        <v>13</v>
      </c>
      <c r="C27" s="13"/>
      <c r="D27" s="13"/>
      <c r="E27" s="13">
        <v>5</v>
      </c>
    </row>
    <row r="28" spans="1:8" x14ac:dyDescent="0.2">
      <c r="A28" s="15"/>
      <c r="B28" s="13" t="s">
        <v>37</v>
      </c>
      <c r="C28" s="13"/>
      <c r="D28" s="13"/>
      <c r="E28" s="13">
        <v>5</v>
      </c>
    </row>
    <row r="29" spans="1:8" x14ac:dyDescent="0.2">
      <c r="A29" s="15"/>
      <c r="B29" s="13" t="s">
        <v>38</v>
      </c>
      <c r="C29" s="13"/>
      <c r="D29" s="13"/>
      <c r="E29" s="13">
        <v>5</v>
      </c>
    </row>
    <row r="30" spans="1:8" x14ac:dyDescent="0.2">
      <c r="A30" s="15"/>
      <c r="B30" s="13" t="s">
        <v>19</v>
      </c>
      <c r="C30" s="13"/>
      <c r="D30" s="13"/>
      <c r="E30" s="13">
        <v>5</v>
      </c>
    </row>
    <row r="31" spans="1:8" x14ac:dyDescent="0.2">
      <c r="A31" s="15"/>
      <c r="B31" s="13" t="s">
        <v>39</v>
      </c>
      <c r="C31" s="13"/>
      <c r="D31" s="13"/>
      <c r="E31" s="13">
        <v>5</v>
      </c>
    </row>
    <row r="32" spans="1:8" x14ac:dyDescent="0.2">
      <c r="A32" s="15"/>
      <c r="B32" s="13"/>
      <c r="C32" s="22" t="s">
        <v>241</v>
      </c>
      <c r="D32" s="22">
        <f>-SUM(D26:D31)</f>
        <v>0</v>
      </c>
      <c r="E32" s="13"/>
    </row>
    <row r="33" spans="1:12" x14ac:dyDescent="0.2">
      <c r="D33">
        <f>-SUM(D27:D32)</f>
        <v>0</v>
      </c>
      <c r="E33">
        <f>SUM(E27:E32)</f>
        <v>25</v>
      </c>
      <c r="L33" s="20"/>
    </row>
    <row r="34" spans="1:12" x14ac:dyDescent="0.2">
      <c r="A34" s="23" t="s">
        <v>45</v>
      </c>
      <c r="B34" s="24" t="s">
        <v>231</v>
      </c>
      <c r="C34" s="24"/>
      <c r="D34" s="24"/>
      <c r="E34" s="24">
        <v>5</v>
      </c>
      <c r="L34" s="20"/>
    </row>
    <row r="35" spans="1:12" x14ac:dyDescent="0.2">
      <c r="A35" s="23"/>
      <c r="B35" s="24" t="s">
        <v>50</v>
      </c>
      <c r="C35" s="24"/>
      <c r="D35" s="24"/>
      <c r="E35" s="24">
        <v>5</v>
      </c>
      <c r="L35" s="20"/>
    </row>
    <row r="36" spans="1:12" x14ac:dyDescent="0.2">
      <c r="A36" s="16"/>
      <c r="B36" s="14"/>
      <c r="C36" s="22" t="s">
        <v>241</v>
      </c>
      <c r="D36" s="22">
        <f>-SUM(D34:D35)</f>
        <v>0</v>
      </c>
      <c r="E36" s="14"/>
      <c r="L36" s="20"/>
    </row>
    <row r="37" spans="1:12" x14ac:dyDescent="0.2">
      <c r="D37">
        <f>-SUM(D34:D36)</f>
        <v>0</v>
      </c>
      <c r="E37">
        <f>SUM(E34:E35)</f>
        <v>10</v>
      </c>
      <c r="L37" s="20"/>
    </row>
    <row r="38" spans="1:12" x14ac:dyDescent="0.2">
      <c r="L38" s="20"/>
    </row>
    <row r="39" spans="1:12" ht="16" x14ac:dyDescent="0.2">
      <c r="A39" s="7" t="s">
        <v>103</v>
      </c>
      <c r="B39" s="9" t="s">
        <v>7</v>
      </c>
      <c r="C39" s="8"/>
      <c r="D39" s="8"/>
      <c r="E39" s="8">
        <v>5</v>
      </c>
      <c r="L39" s="20"/>
    </row>
    <row r="40" spans="1:12" ht="16" x14ac:dyDescent="0.2">
      <c r="A40" s="7"/>
      <c r="B40" s="10" t="s">
        <v>47</v>
      </c>
      <c r="C40" s="8"/>
      <c r="D40" s="8"/>
      <c r="E40" s="8">
        <v>5</v>
      </c>
      <c r="L40" s="20"/>
    </row>
    <row r="41" spans="1:12" ht="16" x14ac:dyDescent="0.2">
      <c r="A41" s="7"/>
      <c r="B41" s="9" t="s">
        <v>48</v>
      </c>
      <c r="C41" s="8"/>
      <c r="D41" s="8"/>
      <c r="E41" s="8">
        <v>5</v>
      </c>
      <c r="L41" s="20"/>
    </row>
    <row r="42" spans="1:12" ht="16" x14ac:dyDescent="0.2">
      <c r="A42" s="7"/>
      <c r="B42" s="9" t="s">
        <v>49</v>
      </c>
      <c r="C42" s="8"/>
      <c r="D42" s="8"/>
      <c r="E42" s="8">
        <v>5</v>
      </c>
      <c r="L42" s="20"/>
    </row>
    <row r="43" spans="1:12" ht="16" x14ac:dyDescent="0.2">
      <c r="A43" s="7"/>
      <c r="B43" s="9" t="s">
        <v>50</v>
      </c>
      <c r="C43" s="8"/>
      <c r="D43" s="8"/>
      <c r="E43" s="8">
        <v>5</v>
      </c>
      <c r="L43" s="20"/>
    </row>
    <row r="44" spans="1:12" ht="16" x14ac:dyDescent="0.2">
      <c r="A44" s="7"/>
      <c r="B44" s="9" t="s">
        <v>51</v>
      </c>
      <c r="C44" s="8"/>
      <c r="D44" s="8"/>
      <c r="E44" s="8">
        <v>5</v>
      </c>
      <c r="L44" s="20"/>
    </row>
    <row r="45" spans="1:12" ht="16" x14ac:dyDescent="0.2">
      <c r="A45" s="7"/>
      <c r="B45" s="9" t="s">
        <v>52</v>
      </c>
      <c r="C45" s="8"/>
      <c r="D45" s="8"/>
      <c r="E45" s="8">
        <v>5</v>
      </c>
      <c r="L45" s="20"/>
    </row>
    <row r="46" spans="1:12" x14ac:dyDescent="0.2">
      <c r="A46" s="7"/>
      <c r="B46" s="9"/>
      <c r="C46" s="22" t="s">
        <v>241</v>
      </c>
      <c r="D46" s="22">
        <f>-SUM(D39:D45)</f>
        <v>0</v>
      </c>
      <c r="E46" s="8"/>
      <c r="L46" s="20"/>
    </row>
    <row r="47" spans="1:12" x14ac:dyDescent="0.2">
      <c r="D47">
        <f>-SUM(D39:D46)</f>
        <v>0</v>
      </c>
      <c r="E47">
        <f>SUM(E39:E45)</f>
        <v>35</v>
      </c>
      <c r="L47" s="20"/>
    </row>
    <row r="49" spans="1:5" ht="16" x14ac:dyDescent="0.2">
      <c r="A49" s="26" t="s">
        <v>44</v>
      </c>
      <c r="B49" s="29" t="s">
        <v>76</v>
      </c>
      <c r="C49" s="27"/>
      <c r="D49" s="27"/>
      <c r="E49" s="27">
        <v>10</v>
      </c>
    </row>
    <row r="50" spans="1:5" ht="16" x14ac:dyDescent="0.2">
      <c r="A50" s="26"/>
      <c r="B50" s="29" t="s">
        <v>77</v>
      </c>
      <c r="C50" s="27"/>
      <c r="D50" s="27"/>
      <c r="E50" s="27">
        <v>5</v>
      </c>
    </row>
    <row r="51" spans="1:5" ht="16" x14ac:dyDescent="0.2">
      <c r="A51" s="26"/>
      <c r="B51" s="29" t="s">
        <v>129</v>
      </c>
      <c r="C51" s="27"/>
      <c r="D51" s="27"/>
      <c r="E51" s="27">
        <v>5</v>
      </c>
    </row>
    <row r="52" spans="1:5" x14ac:dyDescent="0.2">
      <c r="A52" s="26"/>
      <c r="B52" s="27"/>
      <c r="C52" s="27"/>
      <c r="D52" s="27"/>
      <c r="E52" s="27"/>
    </row>
    <row r="53" spans="1:5" x14ac:dyDescent="0.2">
      <c r="A53" s="26" t="s">
        <v>127</v>
      </c>
      <c r="B53" s="27" t="s">
        <v>77</v>
      </c>
      <c r="C53" s="27"/>
      <c r="D53" s="27"/>
      <c r="E53" s="27">
        <v>5</v>
      </c>
    </row>
    <row r="54" spans="1:5" x14ac:dyDescent="0.2">
      <c r="A54" s="26"/>
      <c r="B54" s="27" t="s">
        <v>128</v>
      </c>
      <c r="C54" s="27"/>
      <c r="D54" s="27"/>
      <c r="E54" s="27">
        <v>5</v>
      </c>
    </row>
    <row r="55" spans="1:5" x14ac:dyDescent="0.2">
      <c r="A55" s="26"/>
      <c r="B55" s="27" t="s">
        <v>129</v>
      </c>
      <c r="C55" s="27"/>
      <c r="D55" s="27"/>
      <c r="E55" s="27">
        <v>5</v>
      </c>
    </row>
    <row r="56" spans="1:5" x14ac:dyDescent="0.2">
      <c r="A56" s="26"/>
      <c r="B56" s="27"/>
      <c r="C56" s="27"/>
      <c r="D56" s="27"/>
      <c r="E56" s="27"/>
    </row>
    <row r="57" spans="1:5" x14ac:dyDescent="0.2">
      <c r="A57" s="26" t="s">
        <v>232</v>
      </c>
      <c r="B57" s="27" t="s">
        <v>77</v>
      </c>
      <c r="C57" s="27"/>
      <c r="D57" s="27"/>
      <c r="E57" s="27">
        <v>5</v>
      </c>
    </row>
    <row r="58" spans="1:5" x14ac:dyDescent="0.2">
      <c r="A58" s="26"/>
      <c r="B58" s="27" t="s">
        <v>128</v>
      </c>
      <c r="C58" s="27"/>
      <c r="D58" s="27"/>
      <c r="E58" s="27">
        <v>5</v>
      </c>
    </row>
    <row r="59" spans="1:5" x14ac:dyDescent="0.2">
      <c r="A59" s="26"/>
      <c r="B59" s="27" t="s">
        <v>129</v>
      </c>
      <c r="C59" s="27"/>
      <c r="D59" s="27"/>
      <c r="E59" s="27">
        <v>5</v>
      </c>
    </row>
    <row r="60" spans="1:5" x14ac:dyDescent="0.2">
      <c r="A60" s="15"/>
      <c r="B60" s="13"/>
      <c r="C60" s="22" t="s">
        <v>241</v>
      </c>
      <c r="D60" s="22">
        <f>-SUM(D49:D59)</f>
        <v>0</v>
      </c>
      <c r="E60" s="13"/>
    </row>
    <row r="61" spans="1:5" x14ac:dyDescent="0.2">
      <c r="D61">
        <f>-SUM(D49:D60)</f>
        <v>0</v>
      </c>
      <c r="E61">
        <f>SUM(E57:E59)</f>
        <v>15</v>
      </c>
    </row>
    <row r="63" spans="1:5" x14ac:dyDescent="0.2">
      <c r="A63" s="15" t="s">
        <v>78</v>
      </c>
      <c r="B63" s="13" t="s">
        <v>13</v>
      </c>
      <c r="C63" s="13"/>
      <c r="D63" s="13"/>
      <c r="E63" s="13">
        <v>10</v>
      </c>
    </row>
    <row r="64" spans="1:5" x14ac:dyDescent="0.2">
      <c r="A64" s="15"/>
      <c r="B64" s="13" t="s">
        <v>46</v>
      </c>
      <c r="C64" s="13"/>
      <c r="D64" s="13"/>
      <c r="E64" s="13">
        <v>5</v>
      </c>
    </row>
    <row r="65" spans="1:5" x14ac:dyDescent="0.2">
      <c r="A65" s="15"/>
      <c r="B65" s="13" t="s">
        <v>252</v>
      </c>
      <c r="C65" s="13"/>
      <c r="D65" s="13"/>
      <c r="E65" s="13">
        <v>5</v>
      </c>
    </row>
    <row r="66" spans="1:5" x14ac:dyDescent="0.2">
      <c r="A66" s="15"/>
      <c r="B66" s="13" t="s">
        <v>79</v>
      </c>
      <c r="C66" s="13"/>
      <c r="D66" s="13"/>
      <c r="E66" s="13">
        <v>20</v>
      </c>
    </row>
    <row r="67" spans="1:5" x14ac:dyDescent="0.2">
      <c r="A67" s="15"/>
      <c r="B67" s="13"/>
      <c r="C67" s="22" t="s">
        <v>241</v>
      </c>
      <c r="D67" s="22">
        <f>-SUM(D63:D66)</f>
        <v>0</v>
      </c>
      <c r="E67" s="13"/>
    </row>
    <row r="68" spans="1:5" x14ac:dyDescent="0.2">
      <c r="D68">
        <f>-SUM(D63:D67)</f>
        <v>0</v>
      </c>
      <c r="E68">
        <f>SUM(E63:E66)</f>
        <v>40</v>
      </c>
    </row>
    <row r="72" spans="1:5" x14ac:dyDescent="0.2">
      <c r="A72" s="30" t="s">
        <v>35</v>
      </c>
      <c r="B72" s="31" t="s">
        <v>256</v>
      </c>
      <c r="C72" s="31"/>
      <c r="D72" s="31"/>
      <c r="E72" s="31">
        <v>10</v>
      </c>
    </row>
    <row r="73" spans="1:5" x14ac:dyDescent="0.2">
      <c r="A73" s="30"/>
      <c r="B73" s="31" t="s">
        <v>234</v>
      </c>
      <c r="C73" s="31"/>
      <c r="D73" s="31"/>
      <c r="E73" s="31">
        <v>10</v>
      </c>
    </row>
    <row r="74" spans="1:5" x14ac:dyDescent="0.2">
      <c r="A74" s="30"/>
      <c r="B74" s="31" t="s">
        <v>235</v>
      </c>
      <c r="C74" s="31"/>
      <c r="D74" s="31"/>
      <c r="E74" s="31">
        <v>5</v>
      </c>
    </row>
    <row r="75" spans="1:5" x14ac:dyDescent="0.2">
      <c r="A75" s="30"/>
      <c r="B75" s="31" t="s">
        <v>233</v>
      </c>
      <c r="C75" s="31"/>
      <c r="D75" s="31"/>
      <c r="E75" s="31">
        <v>5</v>
      </c>
    </row>
    <row r="76" spans="1:5" x14ac:dyDescent="0.2">
      <c r="A76" s="11"/>
      <c r="B76" s="12"/>
      <c r="C76" s="22" t="s">
        <v>241</v>
      </c>
      <c r="D76" s="22">
        <f>-SUM(D72:D75)</f>
        <v>0</v>
      </c>
      <c r="E76" s="12"/>
    </row>
    <row r="77" spans="1:5" x14ac:dyDescent="0.2">
      <c r="D77">
        <f>-SUM(D72:D76)</f>
        <v>0</v>
      </c>
      <c r="E77">
        <f>SUM(E72:E75)</f>
        <v>30</v>
      </c>
    </row>
    <row r="79" spans="1:5" x14ac:dyDescent="0.2">
      <c r="A79" s="7" t="s">
        <v>57</v>
      </c>
      <c r="B79" s="8" t="s">
        <v>58</v>
      </c>
      <c r="C79" s="8"/>
      <c r="D79" s="8"/>
      <c r="E79" s="8">
        <v>5</v>
      </c>
    </row>
    <row r="80" spans="1:5" x14ac:dyDescent="0.2">
      <c r="A80" s="7"/>
      <c r="B80" s="8" t="s">
        <v>60</v>
      </c>
      <c r="C80" s="8"/>
      <c r="D80" s="8"/>
      <c r="E80" s="8">
        <v>5</v>
      </c>
    </row>
    <row r="81" spans="1:8" x14ac:dyDescent="0.2">
      <c r="A81" s="7"/>
      <c r="B81" s="8" t="s">
        <v>59</v>
      </c>
      <c r="C81" s="8"/>
      <c r="D81" s="8"/>
      <c r="E81" s="8">
        <v>20</v>
      </c>
    </row>
    <row r="82" spans="1:8" x14ac:dyDescent="0.2">
      <c r="A82" s="7"/>
      <c r="B82" s="8" t="s">
        <v>56</v>
      </c>
      <c r="C82" s="8"/>
      <c r="D82" s="8"/>
      <c r="E82" s="8">
        <v>20</v>
      </c>
    </row>
    <row r="83" spans="1:8" x14ac:dyDescent="0.2">
      <c r="A83" s="7"/>
      <c r="B83" s="8" t="s">
        <v>236</v>
      </c>
      <c r="C83" s="8"/>
      <c r="D83" s="8"/>
      <c r="E83" s="8">
        <v>20</v>
      </c>
    </row>
    <row r="84" spans="1:8" x14ac:dyDescent="0.2">
      <c r="A84" s="7"/>
      <c r="B84" s="8" t="s">
        <v>61</v>
      </c>
      <c r="C84" s="8" t="s">
        <v>69</v>
      </c>
      <c r="D84" s="8"/>
      <c r="E84" s="8">
        <v>3</v>
      </c>
    </row>
    <row r="85" spans="1:8" x14ac:dyDescent="0.2">
      <c r="A85" s="7"/>
      <c r="B85" s="8"/>
      <c r="C85" s="8" t="s">
        <v>70</v>
      </c>
      <c r="D85" s="8"/>
      <c r="E85" s="8">
        <v>3</v>
      </c>
    </row>
    <row r="86" spans="1:8" x14ac:dyDescent="0.2">
      <c r="A86" s="7"/>
      <c r="B86" s="8"/>
      <c r="C86" s="8" t="s">
        <v>71</v>
      </c>
      <c r="D86" s="8"/>
      <c r="E86" s="8">
        <v>3</v>
      </c>
    </row>
    <row r="87" spans="1:8" x14ac:dyDescent="0.2">
      <c r="A87" s="7"/>
      <c r="B87" s="8"/>
      <c r="C87" s="8" t="s">
        <v>54</v>
      </c>
      <c r="D87" s="8"/>
      <c r="E87" s="8">
        <v>3</v>
      </c>
    </row>
    <row r="88" spans="1:8" x14ac:dyDescent="0.2">
      <c r="A88" s="7"/>
      <c r="B88" s="8"/>
      <c r="C88" s="8" t="s">
        <v>72</v>
      </c>
      <c r="D88" s="8"/>
      <c r="E88" s="8">
        <v>3</v>
      </c>
    </row>
    <row r="89" spans="1:8" x14ac:dyDescent="0.2">
      <c r="A89" s="7"/>
      <c r="B89" s="8"/>
      <c r="C89" s="22" t="s">
        <v>241</v>
      </c>
      <c r="D89" s="22">
        <f>-SUM(D79:D88)</f>
        <v>0</v>
      </c>
      <c r="E89" s="8"/>
    </row>
    <row r="90" spans="1:8" x14ac:dyDescent="0.2">
      <c r="D90">
        <f>-SUM(D79:D89)</f>
        <v>0</v>
      </c>
      <c r="E90">
        <f>SUM(E79:E88)</f>
        <v>85</v>
      </c>
    </row>
    <row r="91" spans="1:8" x14ac:dyDescent="0.2">
      <c r="A91" s="11" t="s">
        <v>173</v>
      </c>
      <c r="B91" s="12" t="s">
        <v>174</v>
      </c>
      <c r="C91" s="12"/>
      <c r="D91" s="12"/>
      <c r="E91" s="12">
        <v>5</v>
      </c>
    </row>
    <row r="92" spans="1:8" x14ac:dyDescent="0.2">
      <c r="A92" s="11"/>
      <c r="B92" s="12" t="s">
        <v>77</v>
      </c>
      <c r="C92" s="12"/>
      <c r="D92" s="12"/>
      <c r="E92" s="12">
        <v>5</v>
      </c>
    </row>
    <row r="93" spans="1:8" x14ac:dyDescent="0.2">
      <c r="A93" s="11"/>
      <c r="B93" s="12" t="s">
        <v>175</v>
      </c>
      <c r="C93" s="12"/>
      <c r="D93" s="12"/>
      <c r="E93" s="12">
        <v>10</v>
      </c>
    </row>
    <row r="94" spans="1:8" x14ac:dyDescent="0.2">
      <c r="A94" s="11"/>
      <c r="B94" s="12"/>
      <c r="C94" s="22" t="s">
        <v>241</v>
      </c>
      <c r="D94" s="22">
        <f>-SUM(D91:D93)</f>
        <v>0</v>
      </c>
      <c r="E94" s="12"/>
    </row>
    <row r="95" spans="1:8" x14ac:dyDescent="0.2">
      <c r="D95">
        <f>-SUM(D91:D94)</f>
        <v>0</v>
      </c>
      <c r="E95">
        <f>SUM(E91:E93)</f>
        <v>20</v>
      </c>
    </row>
    <row r="96" spans="1:8" x14ac:dyDescent="0.2">
      <c r="A96" s="1" t="s">
        <v>62</v>
      </c>
      <c r="B96" s="31" t="s">
        <v>63</v>
      </c>
      <c r="C96" s="31" t="s">
        <v>64</v>
      </c>
      <c r="D96" s="31"/>
      <c r="E96" s="31">
        <v>5</v>
      </c>
      <c r="H96" s="1"/>
    </row>
    <row r="97" spans="2:5" x14ac:dyDescent="0.2">
      <c r="B97" s="31"/>
      <c r="C97" s="31" t="s">
        <v>65</v>
      </c>
      <c r="D97" s="31"/>
      <c r="E97" s="31">
        <v>5</v>
      </c>
    </row>
    <row r="98" spans="2:5" x14ac:dyDescent="0.2">
      <c r="B98" s="31"/>
      <c r="C98" s="31" t="s">
        <v>53</v>
      </c>
      <c r="D98" s="31"/>
      <c r="E98" s="31">
        <v>5</v>
      </c>
    </row>
    <row r="99" spans="2:5" x14ac:dyDescent="0.2">
      <c r="B99" s="31"/>
      <c r="C99" s="31" t="s">
        <v>254</v>
      </c>
      <c r="D99" s="31"/>
      <c r="E99" s="31">
        <v>5</v>
      </c>
    </row>
    <row r="100" spans="2:5" x14ac:dyDescent="0.2">
      <c r="B100" s="31"/>
      <c r="C100" s="31" t="s">
        <v>253</v>
      </c>
      <c r="D100" s="31"/>
      <c r="E100" s="31">
        <v>5</v>
      </c>
    </row>
    <row r="101" spans="2:5" x14ac:dyDescent="0.2">
      <c r="B101" s="31"/>
      <c r="C101" s="31" t="s">
        <v>67</v>
      </c>
      <c r="D101" s="31"/>
      <c r="E101" s="31">
        <v>5</v>
      </c>
    </row>
    <row r="102" spans="2:5" x14ac:dyDescent="0.2">
      <c r="B102" s="31"/>
      <c r="C102" s="31" t="s">
        <v>68</v>
      </c>
      <c r="D102" s="31"/>
      <c r="E102" s="31">
        <v>5</v>
      </c>
    </row>
    <row r="103" spans="2:5" x14ac:dyDescent="0.2">
      <c r="B103" s="31"/>
      <c r="C103" s="31" t="s">
        <v>102</v>
      </c>
      <c r="D103" s="31"/>
      <c r="E103" s="31">
        <v>5</v>
      </c>
    </row>
    <row r="104" spans="2:5" x14ac:dyDescent="0.2">
      <c r="B104" s="12"/>
      <c r="C104" s="22" t="s">
        <v>241</v>
      </c>
      <c r="D104" s="22">
        <f>-SUM(D96:D103)</f>
        <v>0</v>
      </c>
      <c r="E104" s="12"/>
    </row>
    <row r="105" spans="2:5" x14ac:dyDescent="0.2">
      <c r="D105">
        <f>-SUM(D96:D104)</f>
        <v>0</v>
      </c>
      <c r="E105">
        <f>SUM(E96:E103)</f>
        <v>40</v>
      </c>
    </row>
    <row r="106" spans="2:5" x14ac:dyDescent="0.2">
      <c r="B106" s="25" t="s">
        <v>63</v>
      </c>
      <c r="C106" s="25" t="s">
        <v>64</v>
      </c>
      <c r="D106" s="25"/>
      <c r="E106" s="25">
        <v>5</v>
      </c>
    </row>
    <row r="107" spans="2:5" x14ac:dyDescent="0.2">
      <c r="B107" s="25"/>
      <c r="C107" s="25" t="s">
        <v>65</v>
      </c>
      <c r="D107" s="25"/>
      <c r="E107" s="25">
        <v>5</v>
      </c>
    </row>
    <row r="108" spans="2:5" x14ac:dyDescent="0.2">
      <c r="B108" s="25"/>
      <c r="C108" s="25" t="s">
        <v>53</v>
      </c>
      <c r="D108" s="25"/>
      <c r="E108" s="25">
        <v>5</v>
      </c>
    </row>
    <row r="109" spans="2:5" x14ac:dyDescent="0.2">
      <c r="B109" s="25"/>
      <c r="C109" s="25" t="s">
        <v>66</v>
      </c>
      <c r="D109" s="25"/>
      <c r="E109" s="25">
        <v>5</v>
      </c>
    </row>
    <row r="110" spans="2:5" x14ac:dyDescent="0.2">
      <c r="B110" s="25"/>
      <c r="C110" s="25" t="s">
        <v>52</v>
      </c>
      <c r="D110" s="25"/>
      <c r="E110" s="25">
        <v>5</v>
      </c>
    </row>
    <row r="111" spans="2:5" x14ac:dyDescent="0.2">
      <c r="B111" s="25"/>
      <c r="C111" s="25" t="s">
        <v>67</v>
      </c>
      <c r="D111" s="25"/>
      <c r="E111" s="25">
        <v>5</v>
      </c>
    </row>
    <row r="112" spans="2:5" x14ac:dyDescent="0.2">
      <c r="B112" s="25"/>
      <c r="C112" s="25" t="s">
        <v>68</v>
      </c>
      <c r="D112" s="25"/>
      <c r="E112" s="25">
        <v>5</v>
      </c>
    </row>
    <row r="113" spans="1:5" x14ac:dyDescent="0.2">
      <c r="B113" s="25"/>
      <c r="C113" s="25" t="s">
        <v>102</v>
      </c>
      <c r="D113" s="25"/>
      <c r="E113" s="25">
        <v>5</v>
      </c>
    </row>
    <row r="114" spans="1:5" x14ac:dyDescent="0.2">
      <c r="B114" s="13"/>
      <c r="C114" s="22" t="s">
        <v>241</v>
      </c>
      <c r="D114" s="22">
        <f>-SUM(D106:D113)</f>
        <v>0</v>
      </c>
      <c r="E114" s="13"/>
    </row>
    <row r="115" spans="1:5" x14ac:dyDescent="0.2">
      <c r="D115">
        <f>-SUM(D106:D114)</f>
        <v>0</v>
      </c>
      <c r="E115">
        <f>SUM(E106:E113)</f>
        <v>40</v>
      </c>
    </row>
    <row r="116" spans="1:5" x14ac:dyDescent="0.2">
      <c r="B116" s="24" t="s">
        <v>63</v>
      </c>
      <c r="C116" s="24" t="s">
        <v>64</v>
      </c>
      <c r="D116" s="24"/>
      <c r="E116" s="24">
        <v>5</v>
      </c>
    </row>
    <row r="117" spans="1:5" x14ac:dyDescent="0.2">
      <c r="B117" s="24"/>
      <c r="C117" s="24" t="s">
        <v>65</v>
      </c>
      <c r="D117" s="24"/>
      <c r="E117" s="24">
        <v>5</v>
      </c>
    </row>
    <row r="118" spans="1:5" x14ac:dyDescent="0.2">
      <c r="B118" s="24"/>
      <c r="C118" s="24" t="s">
        <v>53</v>
      </c>
      <c r="D118" s="24"/>
      <c r="E118" s="24">
        <v>5</v>
      </c>
    </row>
    <row r="119" spans="1:5" x14ac:dyDescent="0.2">
      <c r="B119" s="24"/>
      <c r="C119" s="24" t="s">
        <v>66</v>
      </c>
      <c r="D119" s="24"/>
      <c r="E119" s="24">
        <v>5</v>
      </c>
    </row>
    <row r="120" spans="1:5" x14ac:dyDescent="0.2">
      <c r="B120" s="24"/>
      <c r="C120" s="24" t="s">
        <v>52</v>
      </c>
      <c r="D120" s="24"/>
      <c r="E120" s="24">
        <v>5</v>
      </c>
    </row>
    <row r="121" spans="1:5" x14ac:dyDescent="0.2">
      <c r="B121" s="24"/>
      <c r="C121" s="24" t="s">
        <v>67</v>
      </c>
      <c r="D121" s="24"/>
      <c r="E121" s="24">
        <v>5</v>
      </c>
    </row>
    <row r="122" spans="1:5" x14ac:dyDescent="0.2">
      <c r="B122" s="24"/>
      <c r="C122" s="24" t="s">
        <v>68</v>
      </c>
      <c r="D122" s="24"/>
      <c r="E122" s="24">
        <v>5</v>
      </c>
    </row>
    <row r="123" spans="1:5" x14ac:dyDescent="0.2">
      <c r="B123" s="24"/>
      <c r="C123" s="24" t="s">
        <v>102</v>
      </c>
      <c r="D123" s="24"/>
      <c r="E123" s="24">
        <v>5</v>
      </c>
    </row>
    <row r="124" spans="1:5" x14ac:dyDescent="0.2">
      <c r="B124" s="14"/>
      <c r="C124" s="22" t="s">
        <v>241</v>
      </c>
      <c r="D124" s="22">
        <f>-SUM(D116:D123)</f>
        <v>0</v>
      </c>
      <c r="E124" s="14"/>
    </row>
    <row r="125" spans="1:5" x14ac:dyDescent="0.2">
      <c r="D125">
        <f>-SUM(D116:D124)</f>
        <v>0</v>
      </c>
      <c r="E125">
        <f>SUM(E116:E123)</f>
        <v>40</v>
      </c>
    </row>
    <row r="127" spans="1:5" x14ac:dyDescent="0.2">
      <c r="A127" s="31" t="s">
        <v>114</v>
      </c>
      <c r="B127" s="31" t="s">
        <v>6</v>
      </c>
      <c r="C127" s="31" t="s">
        <v>116</v>
      </c>
      <c r="D127" s="31"/>
      <c r="E127" s="31">
        <v>5</v>
      </c>
    </row>
    <row r="128" spans="1:5" x14ac:dyDescent="0.2">
      <c r="A128" s="31"/>
      <c r="B128" s="31"/>
      <c r="C128" s="31" t="s">
        <v>121</v>
      </c>
      <c r="D128" s="31" t="s">
        <v>122</v>
      </c>
      <c r="E128" s="31">
        <v>5</v>
      </c>
    </row>
    <row r="129" spans="1:5" x14ac:dyDescent="0.2">
      <c r="A129" s="31"/>
      <c r="B129" s="31"/>
      <c r="C129" s="31"/>
      <c r="D129" s="31" t="s">
        <v>123</v>
      </c>
      <c r="E129" s="31">
        <v>5</v>
      </c>
    </row>
    <row r="130" spans="1:5" x14ac:dyDescent="0.2">
      <c r="A130" s="31"/>
      <c r="B130" s="31"/>
      <c r="C130" s="31" t="s">
        <v>115</v>
      </c>
      <c r="D130" s="31"/>
      <c r="E130" s="31">
        <v>5</v>
      </c>
    </row>
    <row r="131" spans="1:5" x14ac:dyDescent="0.2">
      <c r="A131" s="31"/>
      <c r="B131" s="31"/>
      <c r="C131" s="31" t="s">
        <v>117</v>
      </c>
      <c r="D131" s="31"/>
      <c r="E131" s="31">
        <v>5</v>
      </c>
    </row>
    <row r="132" spans="1:5" x14ac:dyDescent="0.2">
      <c r="A132" s="31"/>
      <c r="B132" s="31"/>
      <c r="C132" s="31" t="s">
        <v>118</v>
      </c>
      <c r="D132" s="31"/>
      <c r="E132" s="31">
        <v>5</v>
      </c>
    </row>
    <row r="133" spans="1:5" x14ac:dyDescent="0.2">
      <c r="A133" s="12"/>
      <c r="B133" s="12"/>
      <c r="C133" s="22" t="s">
        <v>241</v>
      </c>
      <c r="D133" s="22">
        <f>-SUM(D127:D132)</f>
        <v>0</v>
      </c>
      <c r="E133" s="12"/>
    </row>
    <row r="134" spans="1:5" x14ac:dyDescent="0.2">
      <c r="A134"/>
      <c r="D134">
        <f>-SUM(D127:D133)</f>
        <v>0</v>
      </c>
      <c r="E134">
        <f>SUM(E127:E132)</f>
        <v>30</v>
      </c>
    </row>
    <row r="135" spans="1:5" x14ac:dyDescent="0.2">
      <c r="A135" s="31" t="s">
        <v>114</v>
      </c>
      <c r="B135" s="31" t="s">
        <v>119</v>
      </c>
      <c r="C135" s="31" t="s">
        <v>120</v>
      </c>
      <c r="D135" s="31"/>
      <c r="E135" s="31">
        <v>10</v>
      </c>
    </row>
    <row r="136" spans="1:5" x14ac:dyDescent="0.2">
      <c r="A136" s="31"/>
      <c r="B136" s="31"/>
      <c r="C136" s="31" t="s">
        <v>115</v>
      </c>
      <c r="D136" s="31"/>
      <c r="E136" s="31">
        <v>5</v>
      </c>
    </row>
    <row r="137" spans="1:5" x14ac:dyDescent="0.2">
      <c r="A137" s="31"/>
      <c r="B137" s="31"/>
      <c r="C137" s="31" t="s">
        <v>118</v>
      </c>
      <c r="D137" s="31"/>
      <c r="E137" s="31">
        <v>5</v>
      </c>
    </row>
    <row r="138" spans="1:5" x14ac:dyDescent="0.2">
      <c r="A138" s="31"/>
      <c r="B138" s="31"/>
      <c r="C138" s="31" t="s">
        <v>121</v>
      </c>
      <c r="D138" s="31" t="s">
        <v>122</v>
      </c>
      <c r="E138" s="31">
        <v>5</v>
      </c>
    </row>
    <row r="139" spans="1:5" x14ac:dyDescent="0.2">
      <c r="A139" s="31"/>
      <c r="B139" s="31"/>
      <c r="C139" s="31"/>
      <c r="D139" s="31" t="s">
        <v>123</v>
      </c>
      <c r="E139" s="31">
        <v>5</v>
      </c>
    </row>
    <row r="140" spans="1:5" x14ac:dyDescent="0.2">
      <c r="A140" s="30"/>
      <c r="B140" s="31"/>
      <c r="C140" s="31"/>
      <c r="D140" s="31" t="s">
        <v>108</v>
      </c>
      <c r="E140" s="31">
        <v>5</v>
      </c>
    </row>
    <row r="141" spans="1:5" x14ac:dyDescent="0.2">
      <c r="A141" s="30"/>
      <c r="B141" s="31"/>
      <c r="C141" s="31"/>
      <c r="D141" s="31" t="s">
        <v>13</v>
      </c>
      <c r="E141" s="31">
        <v>5</v>
      </c>
    </row>
    <row r="142" spans="1:5" x14ac:dyDescent="0.2">
      <c r="A142" s="11"/>
      <c r="B142" s="12"/>
      <c r="C142" s="22" t="s">
        <v>241</v>
      </c>
      <c r="D142" s="22">
        <f>-SUM(D135:D141)</f>
        <v>0</v>
      </c>
      <c r="E142" s="12"/>
    </row>
    <row r="143" spans="1:5" x14ac:dyDescent="0.2">
      <c r="D143">
        <f>-SUM(D135:D142)</f>
        <v>0</v>
      </c>
      <c r="E143">
        <f>SUM(E135:E141)</f>
        <v>40</v>
      </c>
    </row>
    <row r="144" spans="1:5" x14ac:dyDescent="0.2">
      <c r="A144" s="26" t="s">
        <v>130</v>
      </c>
      <c r="B144" s="27" t="s">
        <v>119</v>
      </c>
      <c r="C144" s="27" t="s">
        <v>54</v>
      </c>
      <c r="D144" s="27"/>
      <c r="E144" s="27">
        <v>10</v>
      </c>
    </row>
    <row r="145" spans="1:5" x14ac:dyDescent="0.2">
      <c r="A145" s="26"/>
      <c r="B145" s="27"/>
      <c r="C145" s="27" t="s">
        <v>131</v>
      </c>
      <c r="D145" s="27"/>
      <c r="E145" s="27">
        <v>10</v>
      </c>
    </row>
    <row r="146" spans="1:5" x14ac:dyDescent="0.2">
      <c r="A146" s="26"/>
      <c r="B146" s="27"/>
      <c r="C146" s="27" t="s">
        <v>132</v>
      </c>
      <c r="D146" s="27"/>
      <c r="E146" s="27">
        <v>10</v>
      </c>
    </row>
    <row r="147" spans="1:5" x14ac:dyDescent="0.2">
      <c r="A147" s="26"/>
      <c r="B147" s="27"/>
      <c r="C147" s="27" t="s">
        <v>129</v>
      </c>
      <c r="D147" s="27"/>
      <c r="E147" s="27">
        <v>10</v>
      </c>
    </row>
    <row r="148" spans="1:5" x14ac:dyDescent="0.2">
      <c r="A148" s="26"/>
      <c r="B148" s="27"/>
      <c r="C148" s="27" t="s">
        <v>133</v>
      </c>
      <c r="D148" s="27"/>
      <c r="E148" s="27">
        <v>10</v>
      </c>
    </row>
    <row r="149" spans="1:5" x14ac:dyDescent="0.2">
      <c r="A149" s="15"/>
      <c r="B149" s="13"/>
      <c r="C149" s="22" t="s">
        <v>241</v>
      </c>
      <c r="D149" s="22">
        <f>-SUM(D144:D148)</f>
        <v>0</v>
      </c>
      <c r="E149" s="13"/>
    </row>
    <row r="150" spans="1:5" x14ac:dyDescent="0.2">
      <c r="D150">
        <f>-SUM(D144:D149)</f>
        <v>0</v>
      </c>
      <c r="E150">
        <f>SUM(E144:E148)</f>
        <v>50</v>
      </c>
    </row>
    <row r="151" spans="1:5" x14ac:dyDescent="0.2">
      <c r="A151" s="23" t="s">
        <v>130</v>
      </c>
      <c r="B151" s="24" t="s">
        <v>134</v>
      </c>
      <c r="C151" s="24" t="s">
        <v>54</v>
      </c>
      <c r="D151" s="24"/>
      <c r="E151" s="24">
        <v>20</v>
      </c>
    </row>
    <row r="152" spans="1:5" x14ac:dyDescent="0.2">
      <c r="A152" s="23"/>
      <c r="B152" s="24"/>
      <c r="C152" s="24" t="s">
        <v>132</v>
      </c>
      <c r="D152" s="24"/>
      <c r="E152" s="24">
        <v>20</v>
      </c>
    </row>
    <row r="153" spans="1:5" x14ac:dyDescent="0.2">
      <c r="A153" s="23"/>
      <c r="B153" s="24"/>
      <c r="C153" s="24" t="s">
        <v>129</v>
      </c>
      <c r="D153" s="24"/>
      <c r="E153" s="24">
        <v>20</v>
      </c>
    </row>
    <row r="154" spans="1:5" x14ac:dyDescent="0.2">
      <c r="A154" s="16"/>
      <c r="B154" s="14"/>
      <c r="C154" s="22" t="s">
        <v>241</v>
      </c>
      <c r="D154" s="22">
        <f>-SUM(D151:D153)</f>
        <v>0</v>
      </c>
      <c r="E154" s="14"/>
    </row>
    <row r="155" spans="1:5" x14ac:dyDescent="0.2">
      <c r="D155">
        <f>-SUM(D151:D154)</f>
        <v>0</v>
      </c>
      <c r="E155">
        <f>SUM(E151:E153)</f>
        <v>60</v>
      </c>
    </row>
    <row r="157" spans="1:5" x14ac:dyDescent="0.2">
      <c r="A157" s="16" t="s">
        <v>124</v>
      </c>
      <c r="B157" s="14" t="s">
        <v>125</v>
      </c>
      <c r="C157" s="14"/>
      <c r="D157" s="14"/>
      <c r="E157" s="14">
        <v>10</v>
      </c>
    </row>
    <row r="158" spans="1:5" x14ac:dyDescent="0.2">
      <c r="A158" s="16"/>
      <c r="B158" s="14" t="s">
        <v>126</v>
      </c>
      <c r="C158" s="14"/>
      <c r="D158" s="14"/>
      <c r="E158" s="14">
        <v>5</v>
      </c>
    </row>
    <row r="159" spans="1:5" x14ac:dyDescent="0.2">
      <c r="A159" s="16"/>
      <c r="B159" s="14" t="s">
        <v>229</v>
      </c>
      <c r="C159" s="14"/>
      <c r="D159" s="14"/>
      <c r="E159" s="14">
        <v>5</v>
      </c>
    </row>
    <row r="160" spans="1:5" x14ac:dyDescent="0.2">
      <c r="A160" s="16"/>
      <c r="B160" s="14" t="s">
        <v>237</v>
      </c>
      <c r="C160" s="14"/>
      <c r="D160" s="14"/>
      <c r="E160" s="14">
        <v>5</v>
      </c>
    </row>
    <row r="161" spans="1:5" x14ac:dyDescent="0.2">
      <c r="A161" s="16"/>
      <c r="B161" s="14" t="s">
        <v>230</v>
      </c>
      <c r="C161" s="14"/>
      <c r="D161" s="14"/>
      <c r="E161" s="14">
        <v>5</v>
      </c>
    </row>
    <row r="162" spans="1:5" x14ac:dyDescent="0.2">
      <c r="A162" s="16"/>
      <c r="B162" s="14"/>
      <c r="C162" s="22" t="s">
        <v>241</v>
      </c>
      <c r="D162" s="22">
        <f>-SUM(D157:D161)</f>
        <v>0</v>
      </c>
      <c r="E162" s="14"/>
    </row>
    <row r="163" spans="1:5" x14ac:dyDescent="0.2">
      <c r="D163">
        <f>-SUM(D157:D162)</f>
        <v>0</v>
      </c>
      <c r="E163">
        <f>SUM(E157:E161)</f>
        <v>30</v>
      </c>
    </row>
    <row r="164" spans="1:5" x14ac:dyDescent="0.2">
      <c r="A164" s="30" t="s">
        <v>211</v>
      </c>
      <c r="B164" s="31" t="s">
        <v>210</v>
      </c>
      <c r="C164" s="31"/>
      <c r="D164" s="31"/>
      <c r="E164" s="31">
        <v>5</v>
      </c>
    </row>
    <row r="165" spans="1:5" x14ac:dyDescent="0.2">
      <c r="A165" s="30"/>
      <c r="B165" s="31" t="s">
        <v>65</v>
      </c>
      <c r="C165" s="31"/>
      <c r="D165" s="31"/>
      <c r="E165" s="31">
        <v>10</v>
      </c>
    </row>
    <row r="166" spans="1:5" x14ac:dyDescent="0.2">
      <c r="A166" s="30"/>
      <c r="B166" s="31" t="s">
        <v>50</v>
      </c>
      <c r="C166" s="31"/>
      <c r="D166" s="31"/>
      <c r="E166" s="31">
        <v>10</v>
      </c>
    </row>
    <row r="167" spans="1:5" x14ac:dyDescent="0.2">
      <c r="A167" s="30"/>
      <c r="B167" s="31" t="s">
        <v>212</v>
      </c>
      <c r="C167" s="31"/>
      <c r="D167" s="31"/>
      <c r="E167" s="31">
        <v>5</v>
      </c>
    </row>
    <row r="168" spans="1:5" x14ac:dyDescent="0.2">
      <c r="A168" s="30"/>
      <c r="B168" s="31" t="s">
        <v>51</v>
      </c>
      <c r="C168" s="31"/>
      <c r="D168" s="31"/>
      <c r="E168" s="31">
        <v>5</v>
      </c>
    </row>
    <row r="169" spans="1:5" x14ac:dyDescent="0.2">
      <c r="A169" s="30"/>
      <c r="B169" s="31" t="s">
        <v>239</v>
      </c>
      <c r="C169" s="31"/>
      <c r="D169" s="31"/>
      <c r="E169" s="31">
        <v>5</v>
      </c>
    </row>
    <row r="170" spans="1:5" x14ac:dyDescent="0.2">
      <c r="A170" s="11"/>
      <c r="B170" s="12"/>
      <c r="C170" s="22" t="s">
        <v>241</v>
      </c>
      <c r="D170" s="22">
        <f>-SUM(D164:D169)</f>
        <v>0</v>
      </c>
      <c r="E170" s="12"/>
    </row>
    <row r="171" spans="1:5" x14ac:dyDescent="0.2">
      <c r="D171">
        <f>-SUM(D164:D170)</f>
        <v>0</v>
      </c>
      <c r="E171">
        <f>SUM(E164:E169)</f>
        <v>40</v>
      </c>
    </row>
    <row r="172" spans="1:5" x14ac:dyDescent="0.2">
      <c r="A172" s="26" t="s">
        <v>135</v>
      </c>
      <c r="B172" s="27" t="s">
        <v>136</v>
      </c>
      <c r="C172" s="27"/>
      <c r="D172" s="27"/>
      <c r="E172" s="27">
        <v>5</v>
      </c>
    </row>
    <row r="173" spans="1:5" x14ac:dyDescent="0.2">
      <c r="A173" s="26"/>
      <c r="B173" s="27" t="s">
        <v>240</v>
      </c>
      <c r="C173" s="27"/>
      <c r="D173" s="27"/>
      <c r="E173" s="27">
        <v>5</v>
      </c>
    </row>
    <row r="174" spans="1:5" x14ac:dyDescent="0.2">
      <c r="A174" s="26"/>
      <c r="B174" s="27" t="s">
        <v>8</v>
      </c>
      <c r="C174" s="27"/>
      <c r="D174" s="27"/>
      <c r="E174" s="27">
        <v>5</v>
      </c>
    </row>
    <row r="175" spans="1:5" x14ac:dyDescent="0.2">
      <c r="A175" s="26"/>
      <c r="B175" s="27" t="s">
        <v>137</v>
      </c>
      <c r="C175" s="27"/>
      <c r="D175" s="27"/>
      <c r="E175" s="27">
        <v>5</v>
      </c>
    </row>
    <row r="176" spans="1:5" x14ac:dyDescent="0.2">
      <c r="A176" s="26"/>
      <c r="B176" s="27" t="s">
        <v>138</v>
      </c>
      <c r="C176" s="27"/>
      <c r="D176" s="27"/>
      <c r="E176" s="27">
        <v>5</v>
      </c>
    </row>
    <row r="177" spans="1:5" x14ac:dyDescent="0.2">
      <c r="A177" s="26"/>
      <c r="B177" s="27" t="s">
        <v>139</v>
      </c>
      <c r="C177" s="27"/>
      <c r="D177" s="27"/>
      <c r="E177" s="27">
        <v>5</v>
      </c>
    </row>
    <row r="178" spans="1:5" x14ac:dyDescent="0.2">
      <c r="A178" s="15"/>
      <c r="B178" s="13"/>
      <c r="C178" s="22" t="s">
        <v>241</v>
      </c>
      <c r="D178" s="22">
        <f>-SUM(D172:D177)</f>
        <v>0</v>
      </c>
      <c r="E178" s="13"/>
    </row>
    <row r="179" spans="1:5" x14ac:dyDescent="0.2">
      <c r="D179">
        <f>-SUM(D172:D178)</f>
        <v>0</v>
      </c>
      <c r="E179">
        <f>SUM(E172:E177)</f>
        <v>30</v>
      </c>
    </row>
    <row r="180" spans="1:5" x14ac:dyDescent="0.2">
      <c r="A180" s="23" t="s">
        <v>140</v>
      </c>
      <c r="B180" s="24" t="s">
        <v>50</v>
      </c>
      <c r="C180" s="24"/>
      <c r="D180" s="24"/>
      <c r="E180" s="24">
        <v>5</v>
      </c>
    </row>
    <row r="181" spans="1:5" x14ac:dyDescent="0.2">
      <c r="A181" s="23"/>
      <c r="B181" s="24" t="s">
        <v>238</v>
      </c>
      <c r="C181" s="24"/>
      <c r="D181" s="24"/>
      <c r="E181" s="24">
        <v>5</v>
      </c>
    </row>
    <row r="182" spans="1:5" x14ac:dyDescent="0.2">
      <c r="A182" s="23"/>
      <c r="B182" s="24" t="s">
        <v>141</v>
      </c>
      <c r="C182" s="24"/>
      <c r="D182" s="24"/>
      <c r="E182" s="24">
        <v>5</v>
      </c>
    </row>
    <row r="183" spans="1:5" x14ac:dyDescent="0.2">
      <c r="A183" s="23"/>
      <c r="B183" s="24" t="s">
        <v>142</v>
      </c>
      <c r="C183" s="24"/>
      <c r="D183" s="24"/>
      <c r="E183" s="24">
        <v>10</v>
      </c>
    </row>
    <row r="184" spans="1:5" x14ac:dyDescent="0.2">
      <c r="A184" s="23"/>
      <c r="B184" s="24" t="s">
        <v>55</v>
      </c>
      <c r="C184" s="24"/>
      <c r="D184" s="24"/>
      <c r="E184" s="24">
        <v>5</v>
      </c>
    </row>
    <row r="185" spans="1:5" x14ac:dyDescent="0.2">
      <c r="A185" s="23"/>
      <c r="B185" s="24" t="s">
        <v>54</v>
      </c>
      <c r="C185" s="24"/>
      <c r="D185" s="24"/>
      <c r="E185" s="24">
        <v>10</v>
      </c>
    </row>
    <row r="186" spans="1:5" x14ac:dyDescent="0.2">
      <c r="A186" s="23"/>
      <c r="B186" s="24" t="s">
        <v>143</v>
      </c>
      <c r="C186" s="24"/>
      <c r="D186" s="24"/>
      <c r="E186" s="24">
        <v>5</v>
      </c>
    </row>
    <row r="187" spans="1:5" x14ac:dyDescent="0.2">
      <c r="A187" s="23"/>
      <c r="B187" s="24" t="s">
        <v>144</v>
      </c>
      <c r="C187" s="24"/>
      <c r="D187" s="24"/>
      <c r="E187" s="24">
        <v>5</v>
      </c>
    </row>
    <row r="188" spans="1:5" x14ac:dyDescent="0.2">
      <c r="A188" s="23"/>
      <c r="B188" s="24" t="s">
        <v>145</v>
      </c>
      <c r="C188" s="24"/>
      <c r="D188" s="24"/>
      <c r="E188" s="24">
        <v>5</v>
      </c>
    </row>
    <row r="189" spans="1:5" x14ac:dyDescent="0.2">
      <c r="A189" s="23"/>
      <c r="B189" s="24" t="s">
        <v>146</v>
      </c>
      <c r="C189" s="24"/>
      <c r="D189" s="24"/>
      <c r="E189" s="24">
        <v>5</v>
      </c>
    </row>
    <row r="190" spans="1:5" x14ac:dyDescent="0.2">
      <c r="A190" s="16"/>
      <c r="B190" s="14"/>
      <c r="C190" s="22" t="s">
        <v>241</v>
      </c>
      <c r="D190" s="22">
        <f>-SUM(D180:D189)</f>
        <v>0</v>
      </c>
      <c r="E190" s="14"/>
    </row>
    <row r="191" spans="1:5" x14ac:dyDescent="0.2">
      <c r="D191">
        <f>-SUM(D180:D190)</f>
        <v>0</v>
      </c>
      <c r="E191">
        <f>SUM(E180:E189)</f>
        <v>60</v>
      </c>
    </row>
    <row r="194" spans="1:5" x14ac:dyDescent="0.2">
      <c r="A194" s="7" t="s">
        <v>176</v>
      </c>
      <c r="B194" s="8" t="s">
        <v>177</v>
      </c>
      <c r="C194" s="8" t="s">
        <v>178</v>
      </c>
      <c r="D194" s="8"/>
      <c r="E194" s="8">
        <v>5</v>
      </c>
    </row>
    <row r="195" spans="1:5" x14ac:dyDescent="0.2">
      <c r="A195" s="7"/>
      <c r="B195" s="8"/>
      <c r="C195" s="8" t="s">
        <v>179</v>
      </c>
      <c r="D195" s="8"/>
      <c r="E195" s="8">
        <v>5</v>
      </c>
    </row>
    <row r="196" spans="1:5" x14ac:dyDescent="0.2">
      <c r="A196" s="7"/>
      <c r="B196" s="8"/>
      <c r="C196" s="8" t="s">
        <v>180</v>
      </c>
      <c r="D196" s="8"/>
      <c r="E196" s="8">
        <v>5</v>
      </c>
    </row>
    <row r="197" spans="1:5" x14ac:dyDescent="0.2">
      <c r="A197" s="7"/>
      <c r="B197" s="8" t="s">
        <v>181</v>
      </c>
      <c r="C197" s="8" t="s">
        <v>182</v>
      </c>
      <c r="D197" s="8"/>
      <c r="E197" s="8">
        <v>5</v>
      </c>
    </row>
    <row r="198" spans="1:5" x14ac:dyDescent="0.2">
      <c r="A198" s="7"/>
      <c r="B198" s="8"/>
      <c r="C198" s="8" t="s">
        <v>183</v>
      </c>
      <c r="D198" s="8"/>
      <c r="E198" s="8">
        <v>5</v>
      </c>
    </row>
    <row r="199" spans="1:5" x14ac:dyDescent="0.2">
      <c r="A199" s="7"/>
      <c r="B199" s="8"/>
      <c r="C199" s="8" t="s">
        <v>184</v>
      </c>
      <c r="D199" s="8"/>
      <c r="E199" s="8">
        <v>5</v>
      </c>
    </row>
    <row r="200" spans="1:5" x14ac:dyDescent="0.2">
      <c r="A200" s="7"/>
      <c r="B200" s="8"/>
      <c r="C200" s="8" t="s">
        <v>185</v>
      </c>
      <c r="D200" s="8"/>
      <c r="E200" s="8">
        <v>5</v>
      </c>
    </row>
    <row r="201" spans="1:5" x14ac:dyDescent="0.2">
      <c r="A201" s="7"/>
      <c r="B201" s="8"/>
      <c r="C201" s="8" t="s">
        <v>186</v>
      </c>
      <c r="D201" s="8"/>
      <c r="E201" s="8">
        <v>5</v>
      </c>
    </row>
    <row r="202" spans="1:5" x14ac:dyDescent="0.2">
      <c r="A202" s="7"/>
      <c r="B202" s="8" t="s">
        <v>187</v>
      </c>
      <c r="C202" s="8"/>
      <c r="D202" s="8"/>
      <c r="E202" s="8">
        <v>5</v>
      </c>
    </row>
    <row r="203" spans="1:5" x14ac:dyDescent="0.2">
      <c r="A203" s="7"/>
      <c r="B203" s="8" t="s">
        <v>209</v>
      </c>
      <c r="C203" s="8" t="s">
        <v>190</v>
      </c>
      <c r="D203" s="8"/>
      <c r="E203" s="8">
        <v>5</v>
      </c>
    </row>
    <row r="204" spans="1:5" x14ac:dyDescent="0.2">
      <c r="A204" s="7"/>
      <c r="B204" s="8"/>
      <c r="C204" s="8" t="s">
        <v>191</v>
      </c>
      <c r="D204" s="8"/>
      <c r="E204" s="8">
        <v>5</v>
      </c>
    </row>
    <row r="205" spans="1:5" x14ac:dyDescent="0.2">
      <c r="A205" s="7"/>
      <c r="B205" s="8"/>
      <c r="C205" s="8" t="s">
        <v>13</v>
      </c>
      <c r="D205" s="8"/>
      <c r="E205" s="8">
        <v>5</v>
      </c>
    </row>
    <row r="206" spans="1:5" x14ac:dyDescent="0.2">
      <c r="A206" s="7"/>
      <c r="B206" s="8"/>
      <c r="C206" s="8" t="s">
        <v>189</v>
      </c>
      <c r="D206" s="8"/>
      <c r="E206" s="8">
        <v>5</v>
      </c>
    </row>
    <row r="207" spans="1:5" x14ac:dyDescent="0.2">
      <c r="A207" s="7"/>
      <c r="B207" s="8" t="str">
        <f>Report!B408</f>
        <v>project plan</v>
      </c>
      <c r="C207" s="8" t="str">
        <f>Report!C408</f>
        <v>Weekly Update</v>
      </c>
      <c r="D207" s="8"/>
      <c r="E207" s="8">
        <v>3</v>
      </c>
    </row>
    <row r="208" spans="1:5" x14ac:dyDescent="0.2">
      <c r="A208" s="7"/>
      <c r="B208" s="8"/>
      <c r="C208" s="8" t="str">
        <f>Report!C409</f>
        <v>Allocation of tasks identifiable</v>
      </c>
      <c r="D208" s="8"/>
      <c r="E208" s="8">
        <v>3</v>
      </c>
    </row>
    <row r="209" spans="1:7" x14ac:dyDescent="0.2">
      <c r="A209" s="7"/>
      <c r="B209" s="8"/>
      <c r="C209" s="8" t="str">
        <f>Report!C410</f>
        <v>Plausible</v>
      </c>
      <c r="D209" s="8"/>
      <c r="E209" s="8">
        <v>3</v>
      </c>
    </row>
    <row r="210" spans="1:7" x14ac:dyDescent="0.2">
      <c r="A210" s="7"/>
      <c r="B210" s="8"/>
      <c r="C210" s="8" t="str">
        <f>Report!C411</f>
        <v>Results checkable</v>
      </c>
      <c r="D210" s="8"/>
      <c r="E210" s="8">
        <v>3</v>
      </c>
    </row>
    <row r="211" spans="1:7" x14ac:dyDescent="0.2">
      <c r="A211" s="7"/>
      <c r="B211" s="8"/>
      <c r="C211" s="8" t="str">
        <f>Report!C412</f>
        <v>Reasonable structure</v>
      </c>
      <c r="D211" s="8"/>
      <c r="E211" s="8">
        <v>3</v>
      </c>
    </row>
    <row r="212" spans="1:7" x14ac:dyDescent="0.2">
      <c r="A212" s="7"/>
      <c r="B212" s="8"/>
      <c r="C212" s="22" t="s">
        <v>241</v>
      </c>
      <c r="D212" s="22">
        <f>-SUM(D194:D211)</f>
        <v>0</v>
      </c>
      <c r="E212" s="8"/>
    </row>
    <row r="213" spans="1:7" x14ac:dyDescent="0.2">
      <c r="D213">
        <f>-SUM(D194:D212)</f>
        <v>0</v>
      </c>
      <c r="E213">
        <f>SUM(E194:E211)</f>
        <v>80</v>
      </c>
    </row>
    <row r="218" spans="1:7" x14ac:dyDescent="0.2">
      <c r="A218" s="7"/>
      <c r="B218" t="s">
        <v>218</v>
      </c>
      <c r="D218">
        <f>D213+D90+D47</f>
        <v>0</v>
      </c>
      <c r="E218">
        <f>E213+E90+E47</f>
        <v>200</v>
      </c>
      <c r="G218" s="19">
        <f>D218/E218</f>
        <v>0</v>
      </c>
    </row>
    <row r="219" spans="1:7" x14ac:dyDescent="0.2">
      <c r="A219" s="11"/>
      <c r="B219" t="s">
        <v>219</v>
      </c>
      <c r="D219">
        <f>D171+D105+D77+D143+D134+D95</f>
        <v>0</v>
      </c>
      <c r="E219">
        <f>E171+E105+E77+E143+E134+E95</f>
        <v>200</v>
      </c>
      <c r="G219" s="19">
        <f>(D219+D218)/(E219+E218)</f>
        <v>0</v>
      </c>
    </row>
    <row r="220" spans="1:7" x14ac:dyDescent="0.2">
      <c r="A220" s="15"/>
      <c r="B220" t="s">
        <v>220</v>
      </c>
      <c r="D220">
        <f>D179+D150+D115+D61+D33+D68</f>
        <v>0</v>
      </c>
      <c r="E220">
        <f>E179+E150+E115+E61+E33+E68</f>
        <v>200</v>
      </c>
      <c r="G220" s="19">
        <f>(D220+F218)/(E220+E218)</f>
        <v>0</v>
      </c>
    </row>
    <row r="221" spans="1:7" x14ac:dyDescent="0.2">
      <c r="A221" s="16"/>
      <c r="B221" t="s">
        <v>221</v>
      </c>
      <c r="D221">
        <f>D191+D155+D125+D37+D163</f>
        <v>0</v>
      </c>
      <c r="E221">
        <f>E191+E155+E125+E37+E163</f>
        <v>200</v>
      </c>
      <c r="G221" s="19">
        <f>(D221+D218)/(E221+E218)</f>
        <v>0</v>
      </c>
    </row>
    <row r="226" spans="4:7" x14ac:dyDescent="0.2">
      <c r="F226" t="s">
        <v>265</v>
      </c>
      <c r="G226" t="s">
        <v>266</v>
      </c>
    </row>
    <row r="227" spans="4:7" x14ac:dyDescent="0.2">
      <c r="D227" t="s">
        <v>267</v>
      </c>
      <c r="G227" t="s">
        <v>268</v>
      </c>
    </row>
    <row r="228" spans="4:7" x14ac:dyDescent="0.2">
      <c r="F228">
        <v>45</v>
      </c>
      <c r="G228">
        <v>4</v>
      </c>
    </row>
    <row r="229" spans="4:7" x14ac:dyDescent="0.2">
      <c r="F229">
        <f>F228+(F237-F228)/9</f>
        <v>50</v>
      </c>
      <c r="G229">
        <v>3.7</v>
      </c>
    </row>
    <row r="230" spans="4:7" x14ac:dyDescent="0.2">
      <c r="F230">
        <f>F229+(F237-F228)/9</f>
        <v>55</v>
      </c>
      <c r="G230">
        <v>3.3</v>
      </c>
    </row>
    <row r="231" spans="4:7" x14ac:dyDescent="0.2">
      <c r="F231">
        <f>F230+(F237-F228)/9</f>
        <v>60</v>
      </c>
      <c r="G231">
        <v>3</v>
      </c>
    </row>
    <row r="232" spans="4:7" x14ac:dyDescent="0.2">
      <c r="F232">
        <f>F231+(F237-F228)/9</f>
        <v>65</v>
      </c>
      <c r="G232">
        <v>2.7</v>
      </c>
    </row>
    <row r="233" spans="4:7" x14ac:dyDescent="0.2">
      <c r="F233">
        <f>F232+(F237-F228)/9</f>
        <v>70</v>
      </c>
      <c r="G233">
        <v>2.2999999999999998</v>
      </c>
    </row>
    <row r="234" spans="4:7" x14ac:dyDescent="0.2">
      <c r="F234">
        <f>F233+(F237-F228)/9</f>
        <v>75</v>
      </c>
      <c r="G234">
        <v>2</v>
      </c>
    </row>
    <row r="235" spans="4:7" x14ac:dyDescent="0.2">
      <c r="F235">
        <f>F234+(F237-F228)/9</f>
        <v>80</v>
      </c>
      <c r="G235">
        <v>1.7</v>
      </c>
    </row>
    <row r="236" spans="4:7" x14ac:dyDescent="0.2">
      <c r="F236">
        <f>F235+(F237-F228)/9</f>
        <v>85</v>
      </c>
      <c r="G236">
        <v>1.3</v>
      </c>
    </row>
    <row r="237" spans="4:7" x14ac:dyDescent="0.2">
      <c r="F237">
        <v>90</v>
      </c>
      <c r="G237">
        <v>1</v>
      </c>
    </row>
    <row r="238" spans="4:7" x14ac:dyDescent="0.2">
      <c r="E238" t="s">
        <v>269</v>
      </c>
    </row>
    <row r="1047724" spans="5:5" x14ac:dyDescent="0.2">
      <c r="E1047724" s="8"/>
    </row>
  </sheetData>
  <mergeCells count="2">
    <mergeCell ref="A1:C1"/>
    <mergeCell ref="A5:C5"/>
  </mergeCells>
  <dataValidations disablePrompts="1" count="2">
    <dataValidation type="list" allowBlank="1" showInputMessage="1" showErrorMessage="1" promptTitle="Study Course" prompt="Choose your Study Course" sqref="B13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20" xr:uid="{00000000-0002-0000-0100-000001000000}"/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"/>
  <sheetViews>
    <sheetView workbookViewId="0">
      <selection activeCell="F28" sqref="F28"/>
    </sheetView>
  </sheetViews>
  <sheetFormatPr baseColWidth="10" defaultRowHeight="15" x14ac:dyDescent="0.2"/>
  <cols>
    <col min="2" max="2" width="35.83203125" bestFit="1" customWidth="1"/>
    <col min="3" max="3" width="22.83203125" bestFit="1" customWidth="1"/>
    <col min="4" max="4" width="11.5" style="20"/>
  </cols>
  <sheetData>
    <row r="1" spans="1:4" ht="26" x14ac:dyDescent="0.3">
      <c r="A1" s="44" t="s">
        <v>258</v>
      </c>
      <c r="B1" s="44"/>
      <c r="C1" s="44"/>
      <c r="D1" s="44"/>
    </row>
    <row r="2" spans="1:4" x14ac:dyDescent="0.2">
      <c r="A2" s="1"/>
    </row>
    <row r="4" spans="1:4" x14ac:dyDescent="0.2">
      <c r="B4" t="s">
        <v>242</v>
      </c>
      <c r="D4" s="20">
        <v>-1</v>
      </c>
    </row>
    <row r="5" spans="1:4" x14ac:dyDescent="0.2">
      <c r="B5" t="s">
        <v>42</v>
      </c>
      <c r="D5" s="20">
        <v>-1</v>
      </c>
    </row>
    <row r="6" spans="1:4" x14ac:dyDescent="0.2">
      <c r="B6" t="s">
        <v>244</v>
      </c>
      <c r="D6" s="20">
        <v>-0.5</v>
      </c>
    </row>
    <row r="7" spans="1:4" x14ac:dyDescent="0.2">
      <c r="B7" t="s">
        <v>245</v>
      </c>
      <c r="D7" s="20">
        <v>-0.5</v>
      </c>
    </row>
    <row r="8" spans="1:4" x14ac:dyDescent="0.2">
      <c r="B8" t="s">
        <v>246</v>
      </c>
      <c r="D8" s="20">
        <v>-1</v>
      </c>
    </row>
    <row r="9" spans="1:4" x14ac:dyDescent="0.2">
      <c r="B9" t="s">
        <v>247</v>
      </c>
      <c r="D9" s="20">
        <v>-1</v>
      </c>
    </row>
    <row r="10" spans="1:4" x14ac:dyDescent="0.2">
      <c r="B10" t="s">
        <v>209</v>
      </c>
      <c r="D10" s="20">
        <v>-0.5</v>
      </c>
    </row>
    <row r="11" spans="1:4" x14ac:dyDescent="0.2">
      <c r="B11" t="s">
        <v>243</v>
      </c>
      <c r="D11" s="20">
        <v>-0.5</v>
      </c>
    </row>
    <row r="12" spans="1:4" x14ac:dyDescent="0.2">
      <c r="B12" t="s">
        <v>249</v>
      </c>
      <c r="D12" s="20">
        <v>-0.5</v>
      </c>
    </row>
    <row r="13" spans="1:4" x14ac:dyDescent="0.2">
      <c r="B13" t="s">
        <v>248</v>
      </c>
      <c r="D13" s="20">
        <v>-0.5</v>
      </c>
    </row>
    <row r="14" spans="1:4" x14ac:dyDescent="0.2">
      <c r="B14" t="s">
        <v>250</v>
      </c>
      <c r="D14" s="20">
        <v>-1</v>
      </c>
    </row>
    <row r="15" spans="1:4" x14ac:dyDescent="0.2">
      <c r="B15" t="s">
        <v>251</v>
      </c>
      <c r="D15" s="20">
        <v>-0.3</v>
      </c>
    </row>
    <row r="16" spans="1:4" x14ac:dyDescent="0.2">
      <c r="B16" t="s">
        <v>257</v>
      </c>
      <c r="D16" s="20">
        <v>-1</v>
      </c>
    </row>
    <row r="17" spans="1:4" x14ac:dyDescent="0.2">
      <c r="B17" t="s">
        <v>259</v>
      </c>
      <c r="D17" s="20">
        <v>-0.2</v>
      </c>
    </row>
    <row r="18" spans="1:4" x14ac:dyDescent="0.2">
      <c r="B18" t="s">
        <v>260</v>
      </c>
      <c r="D18" s="20">
        <v>-1</v>
      </c>
    </row>
    <row r="22" spans="1:4" x14ac:dyDescent="0.2">
      <c r="A22" t="s">
        <v>42</v>
      </c>
      <c r="B22" t="s">
        <v>177</v>
      </c>
      <c r="C22" t="s">
        <v>178</v>
      </c>
      <c r="D22" s="20">
        <v>-0.25</v>
      </c>
    </row>
    <row r="23" spans="1:4" x14ac:dyDescent="0.2">
      <c r="C23" t="s">
        <v>179</v>
      </c>
      <c r="D23" s="20">
        <v>-0.25</v>
      </c>
    </row>
    <row r="24" spans="1:4" x14ac:dyDescent="0.2">
      <c r="C24" t="s">
        <v>180</v>
      </c>
      <c r="D24" s="20">
        <v>-0.25</v>
      </c>
    </row>
    <row r="25" spans="1:4" x14ac:dyDescent="0.2">
      <c r="B25" t="s">
        <v>181</v>
      </c>
      <c r="C25" t="s">
        <v>182</v>
      </c>
      <c r="D25" s="20">
        <v>-0.25</v>
      </c>
    </row>
    <row r="26" spans="1:4" x14ac:dyDescent="0.2">
      <c r="C26" t="s">
        <v>183</v>
      </c>
      <c r="D26" s="20">
        <v>-0.25</v>
      </c>
    </row>
    <row r="27" spans="1:4" x14ac:dyDescent="0.2">
      <c r="C27" t="s">
        <v>184</v>
      </c>
      <c r="D27" s="20">
        <v>-0.25</v>
      </c>
    </row>
    <row r="28" spans="1:4" x14ac:dyDescent="0.2">
      <c r="C28" t="s">
        <v>185</v>
      </c>
      <c r="D28" s="20">
        <v>-0.25</v>
      </c>
    </row>
    <row r="30" spans="1:4" x14ac:dyDescent="0.2">
      <c r="B30" t="s">
        <v>187</v>
      </c>
    </row>
    <row r="31" spans="1:4" x14ac:dyDescent="0.2">
      <c r="B31" t="s">
        <v>197</v>
      </c>
      <c r="C31" t="s">
        <v>200</v>
      </c>
      <c r="D31" s="20">
        <v>-0.25</v>
      </c>
    </row>
    <row r="32" spans="1:4" x14ac:dyDescent="0.2">
      <c r="C32" t="s">
        <v>201</v>
      </c>
      <c r="D32" s="20">
        <v>-0.25</v>
      </c>
    </row>
    <row r="33" spans="2:4" x14ac:dyDescent="0.2">
      <c r="C33" t="s">
        <v>184</v>
      </c>
      <c r="D33" s="20">
        <v>-0.25</v>
      </c>
    </row>
    <row r="34" spans="2:4" x14ac:dyDescent="0.2">
      <c r="B34" t="s">
        <v>255</v>
      </c>
      <c r="D34" s="20">
        <v>-1</v>
      </c>
    </row>
    <row r="35" spans="2:4" x14ac:dyDescent="0.2">
      <c r="B35" t="s">
        <v>202</v>
      </c>
      <c r="C35" t="s">
        <v>203</v>
      </c>
      <c r="D35" s="20">
        <v>-1</v>
      </c>
    </row>
    <row r="36" spans="2:4" x14ac:dyDescent="0.2">
      <c r="C36" t="s">
        <v>204</v>
      </c>
      <c r="D36" s="20">
        <v>-1</v>
      </c>
    </row>
    <row r="37" spans="2:4" x14ac:dyDescent="0.2">
      <c r="C37" t="s">
        <v>205</v>
      </c>
      <c r="D37" s="20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Project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gautam ramesh</cp:lastModifiedBy>
  <dcterms:created xsi:type="dcterms:W3CDTF">2022-07-20T06:43:31Z</dcterms:created>
  <dcterms:modified xsi:type="dcterms:W3CDTF">2025-09-25T17:34:55Z</dcterms:modified>
</cp:coreProperties>
</file>